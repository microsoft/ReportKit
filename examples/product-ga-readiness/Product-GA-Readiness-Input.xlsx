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Report Setup" sheetId="1" state="visible" r:id="rId1"/>
    <sheet xmlns:r="http://schemas.openxmlformats.org/officeDocument/2006/relationships" name="Readiness Gates" sheetId="2" state="visible" r:id="rId2"/>
    <sheet xmlns:r="http://schemas.openxmlformats.org/officeDocument/2006/relationships" name="Milestones" sheetId="3" state="visible" r:id="rId3"/>
    <sheet xmlns:r="http://schemas.openxmlformats.org/officeDocument/2006/relationships" name="Decisions &amp; Support" sheetId="4" state="visible" r:id="rId4"/>
    <sheet xmlns:r="http://schemas.openxmlformats.org/officeDocument/2006/relationships" name="Audience Adoption" sheetId="5" state="visible" r:id="rId5"/>
    <sheet xmlns:r="http://schemas.openxmlformats.org/officeDocument/2006/relationships" name="Readiness Details" sheetId="6" state="visible" r:id="rId6"/>
    <sheet xmlns:r="http://schemas.openxmlformats.org/officeDocument/2006/relationships" name="Instructions" sheetId="7" state="visible" r:id="rId7"/>
  </sheets>
  <definedNames/>
</workbook>
</file>

<file path=xl/styles.xml><?xml version="1.0" encoding="utf-8"?>
<styleSheet xmlns="http://schemas.openxmlformats.org/spreadsheetml/2006/main">
  <numFmts count="1">
    <numFmt numFmtId="164" formatCode="yyyy-mm-dd"/>
  </numFmts>
  <fonts count="8">
    <font>
      <name val="Carlito"/>
      <sz val="11"/>
    </font>
    <font>
      <name val="Arial"/>
      <b val="1"/>
      <color rgb="FFFFFFFF"/>
      <sz val="16"/>
    </font>
    <font>
      <name val="Arial"/>
      <color rgb="FF1E3A8A"/>
      <sz val="10"/>
    </font>
    <font>
      <name val="Arial"/>
      <b val="1"/>
      <color rgb="FFFFFFFF"/>
      <sz val="10"/>
    </font>
    <font>
      <name val="Arial"/>
      <color rgb="FF0F172A"/>
      <sz val="10"/>
    </font>
    <font>
      <name val="Arial"/>
      <b val="1"/>
      <color rgb="FFFFFFFF"/>
      <sz val="11"/>
    </font>
    <font>
      <name val="Arial"/>
      <b val="1"/>
      <color rgb="FF0F172A"/>
      <sz val="10"/>
    </font>
    <font>
      <name val="Arial"/>
      <b val="1"/>
      <color rgb="FF2563EB"/>
      <sz val="13"/>
    </font>
  </fonts>
  <fills count="5">
    <fill>
      <patternFill/>
    </fill>
    <fill>
      <patternFill patternType="gray125"/>
    </fill>
    <fill>
      <patternFill patternType="solid">
        <fgColor rgb="FF0F172A"/>
      </patternFill>
    </fill>
    <fill>
      <patternFill patternType="solid">
        <fgColor rgb="FFEAF2FF"/>
      </patternFill>
    </fill>
    <fill>
      <patternFill patternType="solid">
        <fgColor rgb="FFF8FAFC"/>
      </patternFill>
    </fill>
  </fills>
  <borders count="2">
    <border/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vertical="center"/>
    </xf>
    <xf numFmtId="0" fontId="0" fillId="3" borderId="0" pivotButton="0" quotePrefix="0" xfId="0"/>
    <xf numFmtId="0" fontId="2" fillId="3" borderId="0" pivotButton="0" quotePrefix="0" xfId="0"/>
    <xf numFmtId="0" fontId="2" fillId="3" borderId="0" applyAlignment="1" pivotButton="0" quotePrefix="0" xfId="0">
      <alignment wrapText="1"/>
    </xf>
    <xf numFmtId="0" fontId="2" fillId="3" borderId="0" applyAlignment="1" pivotButton="0" quotePrefix="0" xfId="0">
      <alignment vertical="center" wrapText="1"/>
    </xf>
    <xf numFmtId="0" fontId="3" fillId="2" borderId="0" pivotButton="0" quotePrefix="0" xfId="0"/>
    <xf numFmtId="0" fontId="3" fillId="2" borderId="0" applyAlignment="1" pivotButton="0" quotePrefix="0" xfId="0">
      <alignment wrapText="1"/>
    </xf>
    <xf numFmtId="0" fontId="3" fillId="2" borderId="0" applyAlignment="1" pivotButton="0" quotePrefix="0" xfId="0">
      <alignment vertical="center" wrapText="1"/>
    </xf>
    <xf numFmtId="0" fontId="4" fillId="0" borderId="0" pivotButton="0" quotePrefix="0" xfId="0"/>
    <xf numFmtId="0" fontId="4" fillId="0" borderId="0" applyAlignment="1" pivotButton="0" quotePrefix="0" xfId="0">
      <alignment wrapText="1"/>
    </xf>
    <xf numFmtId="0" fontId="4" fillId="0" borderId="0" applyAlignment="1" pivotButton="0" quotePrefix="0" xfId="0">
      <alignment vertical="top" wrapText="1"/>
    </xf>
    <xf numFmtId="0" fontId="3" fillId="2" borderId="1" applyAlignment="1" pivotButton="0" quotePrefix="0" xfId="0">
      <alignment vertical="center" wrapText="1"/>
    </xf>
    <xf numFmtId="0" fontId="4" fillId="0" borderId="1" applyAlignment="1" pivotButton="0" quotePrefix="0" xfId="0">
      <alignment vertical="top" wrapText="1"/>
    </xf>
    <xf numFmtId="164" fontId="4" fillId="0" borderId="1" applyAlignment="1" pivotButton="0" quotePrefix="0" xfId="0">
      <alignment vertical="top" wrapText="1"/>
    </xf>
    <xf numFmtId="0" fontId="5" fillId="2" borderId="0" pivotButton="0" quotePrefix="0" xfId="0"/>
    <xf numFmtId="0" fontId="5" fillId="2" borderId="0" applyAlignment="1" pivotButton="0" quotePrefix="0" xfId="0">
      <alignment vertical="center"/>
    </xf>
    <xf numFmtId="0" fontId="0" fillId="4" borderId="0" pivotButton="0" quotePrefix="0" xfId="0"/>
    <xf numFmtId="0" fontId="4" fillId="4" borderId="0" pivotButton="0" quotePrefix="0" xfId="0"/>
    <xf numFmtId="0" fontId="4" fillId="4" borderId="1" pivotButton="0" quotePrefix="0" xfId="0"/>
    <xf numFmtId="0" fontId="4" fillId="4" borderId="1" applyAlignment="1" pivotButton="0" quotePrefix="0" xfId="0">
      <alignment vertical="center"/>
    </xf>
    <xf numFmtId="0" fontId="6" fillId="4" borderId="1" applyAlignment="1" pivotButton="0" quotePrefix="0" xfId="0">
      <alignment vertical="center"/>
    </xf>
    <xf numFmtId="0" fontId="7" fillId="4" borderId="1" applyAlignment="1" pivotButton="0" quotePrefix="0" xfId="0">
      <alignment vertical="center"/>
    </xf>
    <xf numFmtId="0" fontId="6" fillId="4" borderId="1" pivotButton="0" quotePrefix="0" xfId="0"/>
    <xf numFmtId="0" fontId="7" fillId="4" borderId="1" pivotButton="0" quotePrefix="0" xfId="0"/>
    <xf numFmtId="9" fontId="4" fillId="0" borderId="1" applyAlignment="1" pivotButton="0" quotePrefix="0" xfId="0">
      <alignment vertical="top" wrapText="1"/>
    </xf>
    <xf numFmtId="164" fontId="4" fillId="0" borderId="1" applyAlignment="1" pivotButton="0" quotePrefix="0" xfId="0">
      <alignment vertical="top" wrapText="1"/>
    </xf>
    <xf numFmtId="9" fontId="4" fillId="0" borderId="1" applyAlignment="1" pivotButton="0" quotePrefix="0" xfId="0">
      <alignment vertical="top" wrapText="1"/>
    </xf>
  </cellXfs>
  <cellStyles count="1">
    <cellStyle name="Normal" xfId="0"/>
  </cellStyles>
  <dxfs count="50">
    <dxf>
      <font>
        <b val="1"/>
        <color rgb="FF166534"/>
      </font>
      <fill>
        <patternFill patternType="solid">
          <bgColor rgb="FFDCFCE7"/>
        </patternFill>
      </fill>
    </dxf>
    <dxf>
      <font>
        <b val="1"/>
        <color rgb="FF166534"/>
      </font>
      <fill>
        <patternFill patternType="solid">
          <bgColor rgb="FFDCFCE7"/>
        </patternFill>
      </fill>
    </dxf>
    <dxf>
      <font>
        <b val="1"/>
        <color rgb="FF166534"/>
      </font>
      <fill>
        <patternFill patternType="solid">
          <bgColor rgb="FFDCFCE7"/>
        </patternFill>
      </fill>
    </dxf>
    <dxf>
      <font>
        <b val="1"/>
        <color rgb="FF991B1B"/>
      </font>
      <fill>
        <patternFill patternType="solid">
          <bgColor rgb="FFFEE2E2"/>
        </patternFill>
      </fill>
    </dxf>
    <dxf>
      <font>
        <b val="1"/>
        <color rgb="FF991B1B"/>
      </font>
      <fill>
        <patternFill patternType="solid">
          <bgColor rgb="FFFEE2E2"/>
        </patternFill>
      </fill>
    </dxf>
    <dxf>
      <font>
        <b val="1"/>
        <color rgb="FF92400E"/>
      </font>
      <fill>
        <patternFill patternType="solid">
          <bgColor rgb="FFFEF3C7"/>
        </patternFill>
      </fill>
    </dxf>
    <dxf>
      <font>
        <b val="1"/>
        <color rgb="FF5B21B6"/>
      </font>
      <fill>
        <patternFill patternType="solid">
          <bgColor rgb="FFEDE9FE"/>
        </patternFill>
      </fill>
    </dxf>
    <dxf>
      <font>
        <b val="1"/>
        <color rgb="FF1D4ED8"/>
      </font>
      <fill>
        <patternFill patternType="solid">
          <bgColor rgb="FFDBEAFE"/>
        </patternFill>
      </fill>
    </dxf>
    <dxf>
      <font>
        <b val="1"/>
        <color rgb="FF334155"/>
      </font>
      <fill>
        <patternFill patternType="solid">
          <bgColor rgb="FFE2E8F0"/>
        </patternFill>
      </fill>
    </dxf>
    <dxf>
      <font>
        <b val="1"/>
        <color rgb="FF334155"/>
      </font>
      <fill>
        <patternFill patternType="solid">
          <bgColor rgb="FFE2E8F0"/>
        </patternFill>
      </fill>
    </dxf>
    <dxf>
      <font>
        <b val="1"/>
        <color rgb="FF166534"/>
      </font>
      <fill>
        <patternFill patternType="solid">
          <bgColor rgb="FFDCFCE7"/>
        </patternFill>
      </fill>
    </dxf>
    <dxf>
      <font>
        <b val="1"/>
        <color rgb="FF166534"/>
      </font>
      <fill>
        <patternFill patternType="solid">
          <bgColor rgb="FFDCFCE7"/>
        </patternFill>
      </fill>
    </dxf>
    <dxf>
      <font>
        <b val="1"/>
        <color rgb="FF166534"/>
      </font>
      <fill>
        <patternFill patternType="solid">
          <bgColor rgb="FFDCFCE7"/>
        </patternFill>
      </fill>
    </dxf>
    <dxf>
      <font>
        <b val="1"/>
        <color rgb="FF991B1B"/>
      </font>
      <fill>
        <patternFill patternType="solid">
          <bgColor rgb="FFFEE2E2"/>
        </patternFill>
      </fill>
    </dxf>
    <dxf>
      <font>
        <b val="1"/>
        <color rgb="FF991B1B"/>
      </font>
      <fill>
        <patternFill patternType="solid">
          <bgColor rgb="FFFEE2E2"/>
        </patternFill>
      </fill>
    </dxf>
    <dxf>
      <font>
        <b val="1"/>
        <color rgb="FF92400E"/>
      </font>
      <fill>
        <patternFill patternType="solid">
          <bgColor rgb="FFFEF3C7"/>
        </patternFill>
      </fill>
    </dxf>
    <dxf>
      <font>
        <b val="1"/>
        <color rgb="FF5B21B6"/>
      </font>
      <fill>
        <patternFill patternType="solid">
          <bgColor rgb="FFEDE9FE"/>
        </patternFill>
      </fill>
    </dxf>
    <dxf>
      <font>
        <b val="1"/>
        <color rgb="FF1D4ED8"/>
      </font>
      <fill>
        <patternFill patternType="solid">
          <bgColor rgb="FFDBEAFE"/>
        </patternFill>
      </fill>
    </dxf>
    <dxf>
      <font>
        <b val="1"/>
        <color rgb="FF334155"/>
      </font>
      <fill>
        <patternFill patternType="solid">
          <bgColor rgb="FFE2E8F0"/>
        </patternFill>
      </fill>
    </dxf>
    <dxf>
      <font>
        <b val="1"/>
        <color rgb="FF334155"/>
      </font>
      <fill>
        <patternFill patternType="solid">
          <bgColor rgb="FFE2E8F0"/>
        </patternFill>
      </fill>
    </dxf>
    <dxf>
      <font>
        <b val="1"/>
        <color rgb="FF166534"/>
      </font>
      <fill>
        <patternFill patternType="solid">
          <bgColor rgb="FFDCFCE7"/>
        </patternFill>
      </fill>
    </dxf>
    <dxf>
      <font>
        <b val="1"/>
        <color rgb="FF166534"/>
      </font>
      <fill>
        <patternFill patternType="solid">
          <bgColor rgb="FFDCFCE7"/>
        </patternFill>
      </fill>
    </dxf>
    <dxf>
      <font>
        <b val="1"/>
        <color rgb="FF166534"/>
      </font>
      <fill>
        <patternFill patternType="solid">
          <bgColor rgb="FFDCFCE7"/>
        </patternFill>
      </fill>
    </dxf>
    <dxf>
      <font>
        <b val="1"/>
        <color rgb="FF991B1B"/>
      </font>
      <fill>
        <patternFill patternType="solid">
          <bgColor rgb="FFFEE2E2"/>
        </patternFill>
      </fill>
    </dxf>
    <dxf>
      <font>
        <b val="1"/>
        <color rgb="FF991B1B"/>
      </font>
      <fill>
        <patternFill patternType="solid">
          <bgColor rgb="FFFEE2E2"/>
        </patternFill>
      </fill>
    </dxf>
    <dxf>
      <font>
        <b val="1"/>
        <color rgb="FF92400E"/>
      </font>
      <fill>
        <patternFill patternType="solid">
          <bgColor rgb="FFFEF3C7"/>
        </patternFill>
      </fill>
    </dxf>
    <dxf>
      <font>
        <b val="1"/>
        <color rgb="FF5B21B6"/>
      </font>
      <fill>
        <patternFill patternType="solid">
          <bgColor rgb="FFEDE9FE"/>
        </patternFill>
      </fill>
    </dxf>
    <dxf>
      <font>
        <b val="1"/>
        <color rgb="FF1D4ED8"/>
      </font>
      <fill>
        <patternFill patternType="solid">
          <bgColor rgb="FFDBEAFE"/>
        </patternFill>
      </fill>
    </dxf>
    <dxf>
      <font>
        <b val="1"/>
        <color rgb="FF334155"/>
      </font>
      <fill>
        <patternFill patternType="solid">
          <bgColor rgb="FFE2E8F0"/>
        </patternFill>
      </fill>
    </dxf>
    <dxf>
      <font>
        <b val="1"/>
        <color rgb="FF334155"/>
      </font>
      <fill>
        <patternFill patternType="solid">
          <bgColor rgb="FFE2E8F0"/>
        </patternFill>
      </fill>
    </dxf>
    <dxf>
      <font>
        <b val="1"/>
        <color rgb="FF166534"/>
      </font>
      <fill>
        <patternFill patternType="solid">
          <bgColor rgb="FFDCFCE7"/>
        </patternFill>
      </fill>
    </dxf>
    <dxf>
      <font>
        <b val="1"/>
        <color rgb="FF166534"/>
      </font>
      <fill>
        <patternFill patternType="solid">
          <bgColor rgb="FFDCFCE7"/>
        </patternFill>
      </fill>
    </dxf>
    <dxf>
      <font>
        <b val="1"/>
        <color rgb="FF166534"/>
      </font>
      <fill>
        <patternFill patternType="solid">
          <bgColor rgb="FFDCFCE7"/>
        </patternFill>
      </fill>
    </dxf>
    <dxf>
      <font>
        <b val="1"/>
        <color rgb="FF991B1B"/>
      </font>
      <fill>
        <patternFill patternType="solid">
          <bgColor rgb="FFFEE2E2"/>
        </patternFill>
      </fill>
    </dxf>
    <dxf>
      <font>
        <b val="1"/>
        <color rgb="FF991B1B"/>
      </font>
      <fill>
        <patternFill patternType="solid">
          <bgColor rgb="FFFEE2E2"/>
        </patternFill>
      </fill>
    </dxf>
    <dxf>
      <font>
        <b val="1"/>
        <color rgb="FF92400E"/>
      </font>
      <fill>
        <patternFill patternType="solid">
          <bgColor rgb="FFFEF3C7"/>
        </patternFill>
      </fill>
    </dxf>
    <dxf>
      <font>
        <b val="1"/>
        <color rgb="FF5B21B6"/>
      </font>
      <fill>
        <patternFill patternType="solid">
          <bgColor rgb="FFEDE9FE"/>
        </patternFill>
      </fill>
    </dxf>
    <dxf>
      <font>
        <b val="1"/>
        <color rgb="FF1D4ED8"/>
      </font>
      <fill>
        <patternFill patternType="solid">
          <bgColor rgb="FFDBEAFE"/>
        </patternFill>
      </fill>
    </dxf>
    <dxf>
      <font>
        <b val="1"/>
        <color rgb="FF334155"/>
      </font>
      <fill>
        <patternFill patternType="solid">
          <bgColor rgb="FFE2E8F0"/>
        </patternFill>
      </fill>
    </dxf>
    <dxf>
      <font>
        <b val="1"/>
        <color rgb="FF334155"/>
      </font>
      <fill>
        <patternFill patternType="solid">
          <bgColor rgb="FFE2E8F0"/>
        </patternFill>
      </fill>
    </dxf>
    <dxf>
      <font>
        <b val="1"/>
        <color rgb="FF166534"/>
      </font>
      <fill>
        <patternFill patternType="solid">
          <bgColor rgb="FFDCFCE7"/>
        </patternFill>
      </fill>
    </dxf>
    <dxf>
      <font>
        <b val="1"/>
        <color rgb="FF166534"/>
      </font>
      <fill>
        <patternFill patternType="solid">
          <bgColor rgb="FFDCFCE7"/>
        </patternFill>
      </fill>
    </dxf>
    <dxf>
      <font>
        <b val="1"/>
        <color rgb="FF166534"/>
      </font>
      <fill>
        <patternFill patternType="solid">
          <bgColor rgb="FFDCFCE7"/>
        </patternFill>
      </fill>
    </dxf>
    <dxf>
      <font>
        <b val="1"/>
        <color rgb="FF991B1B"/>
      </font>
      <fill>
        <patternFill patternType="solid">
          <bgColor rgb="FFFEE2E2"/>
        </patternFill>
      </fill>
    </dxf>
    <dxf>
      <font>
        <b val="1"/>
        <color rgb="FF991B1B"/>
      </font>
      <fill>
        <patternFill patternType="solid">
          <bgColor rgb="FFFEE2E2"/>
        </patternFill>
      </fill>
    </dxf>
    <dxf>
      <font>
        <b val="1"/>
        <color rgb="FF92400E"/>
      </font>
      <fill>
        <patternFill patternType="solid">
          <bgColor rgb="FFFEF3C7"/>
        </patternFill>
      </fill>
    </dxf>
    <dxf>
      <font>
        <b val="1"/>
        <color rgb="FF5B21B6"/>
      </font>
      <fill>
        <patternFill patternType="solid">
          <bgColor rgb="FFEDE9FE"/>
        </patternFill>
      </fill>
    </dxf>
    <dxf>
      <font>
        <b val="1"/>
        <color rgb="FF1D4ED8"/>
      </font>
      <fill>
        <patternFill patternType="solid">
          <bgColor rgb="FFDBEAFE"/>
        </patternFill>
      </fill>
    </dxf>
    <dxf>
      <font>
        <b val="1"/>
        <color rgb="FF334155"/>
      </font>
      <fill>
        <patternFill patternType="solid">
          <bgColor rgb="FFE2E8F0"/>
        </patternFill>
      </fill>
    </dxf>
    <dxf>
      <font>
        <b val="1"/>
        <color rgb="FF334155"/>
      </font>
      <fill>
        <patternFill patternType="solid">
          <bgColor rgb="FFE2E8F0"/>
        </patternFill>
      </fill>
    </dxf>
  </dxf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ables/table1.xml><?xml version="1.0" encoding="utf-8"?>
<table xmlns="http://schemas.openxmlformats.org/spreadsheetml/2006/main" id="1" name="ReportSettingsTable" displayName="ReportSettingsTable" ref="A4:C24" headerRowCount="1" totalsRowCount="0" totalsRowShown="0">
  <autoFilter ref="A4:C24"/>
  <tableColumns count="3">
    <tableColumn id="1" name="Key"/>
    <tableColumn id="2" name="Value"/>
    <tableColumn id="3" name="Guidanc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ReadinessGatesTable" displayName="ReadinessGatesTable" ref="A5:K11" headerRowCount="1" totalsRowCount="0" totalsRowShown="0">
  <autoFilter ref="A5:K11"/>
  <tableColumns count="11">
    <tableColumn id="1" name="Gate ID"/>
    <tableColumn id="2" name="Gate Name"/>
    <tableColumn id="3" name="Status"/>
    <tableColumn id="4" name="Status Label"/>
    <tableColumn id="5" name="Value"/>
    <tableColumn id="6" name="Unit"/>
    <tableColumn id="7" name="Summary"/>
    <tableColumn id="8" name="Owner"/>
    <tableColumn id="9" name="Target Date"/>
    <tableColumn id="10" name="Blocks GA"/>
    <tableColumn id="11" name="Display Order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MilestonesTable" displayName="MilestonesTable" ref="A5:N13" headerRowCount="1" totalsRowCount="0" totalsRowShown="0">
  <autoFilter ref="A5:N13"/>
  <tableColumns count="14">
    <tableColumn id="1" name="Milestone ID"/>
    <tableColumn id="2" name="Milestone"/>
    <tableColumn id="3" name="Workstream"/>
    <tableColumn id="4" name="Milestone Type"/>
    <tableColumn id="5" name="Status"/>
    <tableColumn id="6" name="Progress %"/>
    <tableColumn id="7" name="Owner"/>
    <tableColumn id="8" name="Target Date"/>
    <tableColumn id="9" name="Completed Date"/>
    <tableColumn id="10" name="Dependency"/>
    <tableColumn id="11" name="GA Impact"/>
    <tableColumn id="12" name="Current Evidence"/>
    <tableColumn id="13" name="Next Action"/>
    <tableColumn id="14" name="Display Order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DecisionsSupportTable" displayName="DecisionsSupportTable" ref="A5:M12" headerRowCount="1" totalsRowCount="0" totalsRowShown="0">
  <autoFilter ref="A5:M12"/>
  <tableColumns count="13">
    <tableColumn id="1" name="Request ID"/>
    <tableColumn id="2" name="Type"/>
    <tableColumn id="3" name="Decision or Support Needed"/>
    <tableColumn id="4" name="Status"/>
    <tableColumn id="5" name="Owner"/>
    <tableColumn id="6" name="Needed From"/>
    <tableColumn id="7" name="Due Date"/>
    <tableColumn id="8" name="Blocks GA"/>
    <tableColumn id="9" name="Outcome Needed"/>
    <tableColumn id="10" name="Current Context"/>
    <tableColumn id="11" name="Next Step"/>
    <tableColumn id="12" name="Scope or Related Record"/>
    <tableColumn id="13" name="Display Order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AudienceAdoptionTable" displayName="AudienceAdoptionTable" ref="A5:L11" headerRowCount="1" totalsRowCount="0" totalsRowShown="0">
  <autoFilter ref="A5:L11"/>
  <tableColumns count="12">
    <tableColumn id="1" name="Audience ID"/>
    <tableColumn id="2" name="Audience or Client"/>
    <tableColumn id="3" name="Type"/>
    <tableColumn id="4" name="Status"/>
    <tableColumn id="5" name="Adoption Stage"/>
    <tableColumn id="6" name="Progress %"/>
    <tableColumn id="7" name="Owner"/>
    <tableColumn id="8" name="Target Date"/>
    <tableColumn id="9" name="Blocks GA"/>
    <tableColumn id="10" name="Current Evidence"/>
    <tableColumn id="11" name="Next Action"/>
    <tableColumn id="12" name="Display Order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ReadinessDetailsTable" displayName="ReadinessDetailsTable" ref="A5:Q15" headerRowCount="1" totalsRowCount="0" totalsRowShown="0">
  <autoFilter ref="A5:Q15"/>
  <tableColumns count="17">
    <tableColumn id="1" name="Record ID"/>
    <tableColumn id="2" name="Workstream ID"/>
    <tableColumn id="3" name="Workstream"/>
    <tableColumn id="4" name="Item"/>
    <tableColumn id="5" name="Status"/>
    <tableColumn id="6" name="Priority"/>
    <tableColumn id="7" name="Owner"/>
    <tableColumn id="8" name="Accountable Owner"/>
    <tableColumn id="9" name="Target Date"/>
    <tableColumn id="10" name="Blocks GA"/>
    <tableColumn id="11" name="GA Impact"/>
    <tableColumn id="12" name="Current State or Evidence"/>
    <tableColumn id="13" name="Next Action"/>
    <tableColumn id="14" name="Evidence State"/>
    <tableColumn id="15" name="Release Scope"/>
    <tableColumn id="16" name="Source Reference"/>
    <tableColumn id="17" name="Display Order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id="7" name="AuthoringGuideTable" displayName="AuthoringGuideTable" ref="A4:C15" headerRowCount="1" totalsRowCount="0" totalsRowShown="0">
  <autoFilter ref="A4:C15"/>
  <tableColumns count="3">
    <tableColumn id="1" name="Step"/>
    <tableColumn id="2" name="Where"/>
    <tableColumn id="3" name="Rule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id="8" name="StatusMappingTable" displayName="StatusMappingTable" ref="E4:G14" headerRowCount="1" totalsRowCount="0" totalsRowShown="0">
  <autoFilter ref="E4:G14"/>
  <tableColumns count="3">
    <tableColumn id="1" name="Excel Status"/>
    <tableColumn id="2" name="Canonical Status"/>
    <tableColumn id="3" name="Meaning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6.xm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7.xml" Id="rId1"/><Relationship Type="http://schemas.openxmlformats.org/officeDocument/2006/relationships/table" Target="/xl/tables/table8.xml" Id="rId2"/></Relationships>
</file>

<file path=xl/worksheets/sheet1.xml><?xml version="1.0" encoding="utf-8"?>
<worksheet xmlns="http://schemas.openxmlformats.org/spreadsheetml/2006/main">
  <sheetPr>
    <tabColor rgb="FF2563EB"/>
    <outlinePr summaryBelow="1" summaryRight="1"/>
    <pageSetUpPr/>
  </sheetPr>
  <dimension ref="A1:H24"/>
  <sheetViews>
    <sheetView showGridLines="0" workbookViewId="0">
      <pane ySplit="4" topLeftCell="A5" activePane="bottomLeft" state="frozen"/>
      <selection activeCell="A1" sqref="A1"/>
    </sheetView>
  </sheetViews>
  <sheetFormatPr baseColWidth="8" defaultRowHeight="15"/>
  <cols>
    <col width="28" customWidth="1" min="1" max="1"/>
    <col width="72" customWidth="1" min="2" max="2"/>
    <col width="76" customWidth="1" min="3" max="3"/>
    <col width="24" customWidth="1" min="5" max="5"/>
    <col width="18" customWidth="1" min="6" max="6"/>
    <col width="14" customWidth="1" min="7" max="7"/>
    <col width="14" customWidth="1" min="8" max="8"/>
  </cols>
  <sheetData>
    <row r="1" ht="34" customHeight="1">
      <c r="A1" s="3" t="inlineStr">
        <is>
          <t>Product GA Readiness — Report Setup</t>
        </is>
      </c>
    </row>
    <row r="2" ht="32" customHeight="1">
      <c r="A2" s="7" t="inlineStr">
        <is>
          <t>Every project-specific label used by the static HTML begins here. Do not hardcode these values in the template.</t>
        </is>
      </c>
    </row>
    <row r="3"/>
    <row r="4" ht="28" customHeight="1">
      <c r="A4" s="14" t="inlineStr">
        <is>
          <t>Key</t>
        </is>
      </c>
      <c r="B4" s="14" t="inlineStr">
        <is>
          <t>Value</t>
        </is>
      </c>
      <c r="C4" s="14" t="inlineStr">
        <is>
          <t>Guidance</t>
        </is>
      </c>
      <c r="E4" s="18" t="inlineStr">
        <is>
          <t>Calculated dashboard checks</t>
        </is>
      </c>
    </row>
    <row r="5" ht="15" customHeight="1">
      <c r="A5" s="15" t="inlineStr">
        <is>
          <t>Report ID</t>
        </is>
      </c>
      <c r="B5" s="15" t="inlineStr">
        <is>
          <t>contoso-product-ga-readiness</t>
        </is>
      </c>
      <c r="C5" s="15" t="inlineStr">
        <is>
          <t>Workbook-owned value used by the deterministic ReportKit adapter.</t>
        </is>
      </c>
      <c r="E5" s="23" t="inlineStr">
        <is>
          <t>Days to target</t>
        </is>
      </c>
      <c r="F5" s="24">
        <f>MAX(0,B11-B12)</f>
        <v/>
      </c>
    </row>
    <row r="6" ht="15" customHeight="1">
      <c r="A6" s="15" t="inlineStr">
        <is>
          <t>Report Title</t>
        </is>
      </c>
      <c r="B6" s="15" t="inlineStr">
        <is>
          <t>Contoso Product GA Readiness</t>
        </is>
      </c>
      <c r="C6" s="15" t="inlineStr">
        <is>
          <t>Workbook-owned value used by the deterministic ReportKit adapter.</t>
        </is>
      </c>
      <c r="E6" s="23" t="inlineStr">
        <is>
          <t>Confirmed blockers</t>
        </is>
      </c>
      <c r="F6" s="24">
        <f>COUNTIF('Readiness Details'!J6:J205,"Yes")+COUNTIF('Decisions &amp; Support'!H6:H205,"Yes")+COUNTIF('Audience Adoption'!I6:I205,"Yes")</f>
        <v/>
      </c>
    </row>
    <row r="7" ht="15" customHeight="1">
      <c r="A7" s="15" t="inlineStr">
        <is>
          <t>Subtitle</t>
        </is>
      </c>
      <c r="B7" s="15" t="inlineStr">
        <is>
          <t>Management view of product, platform, service, launch content, and customer readiness</t>
        </is>
      </c>
      <c r="C7" s="15" t="inlineStr">
        <is>
          <t>Workbook-owned value used by the deterministic ReportKit adapter.</t>
        </is>
      </c>
      <c r="E7" s="23" t="inlineStr">
        <is>
          <t>Readiness gates</t>
        </is>
      </c>
      <c r="F7" s="24">
        <f>COUNTA('Readiness Gates'!A6:A105)</f>
        <v/>
      </c>
    </row>
    <row r="8" ht="15" customHeight="1">
      <c r="A8" s="15" t="inlineStr">
        <is>
          <t>Product Name</t>
        </is>
      </c>
      <c r="B8" s="15" t="inlineStr">
        <is>
          <t>Contoso Secure SDK</t>
        </is>
      </c>
      <c r="C8" s="15" t="inlineStr">
        <is>
          <t>Workbook-owned value used by the deterministic ReportKit adapter.</t>
        </is>
      </c>
      <c r="E8" s="23" t="inlineStr">
        <is>
          <t>Owners missing</t>
        </is>
      </c>
      <c r="F8" s="24">
        <f>COUNTIF('Readiness Details'!G6:G205,"Unassigned")+COUNTIF(Milestones!G6:G205,"Unassigned")+COUNTIF('Decisions &amp; Support'!E6:E205,"Unassigned")+COUNTIF('Audience Adoption'!G6:G205,"Unassigned")</f>
        <v/>
      </c>
    </row>
    <row r="9" ht="15" customHeight="1">
      <c r="A9" s="15" t="inlineStr">
        <is>
          <t>Primary GA Target</t>
        </is>
      </c>
      <c r="B9" s="15" t="inlineStr">
        <is>
          <t>Contoso Secure SDK</t>
        </is>
      </c>
      <c r="C9" s="15" t="inlineStr">
        <is>
          <t>Workbook-owned value used by the deterministic ReportKit adapter.</t>
        </is>
      </c>
      <c r="E9" s="23" t="inlineStr">
        <is>
          <t>Refresh cadence</t>
        </is>
      </c>
      <c r="F9" s="22" t="inlineStr">
        <is>
          <t>Daily</t>
        </is>
      </c>
    </row>
    <row r="10" ht="15" customHeight="1">
      <c r="A10" s="15" t="inlineStr">
        <is>
          <t>GA Target Label</t>
        </is>
      </c>
      <c r="B10" s="15" t="inlineStr">
        <is>
          <t>October 30, 2026</t>
        </is>
      </c>
      <c r="C10" s="15" t="inlineStr">
        <is>
          <t>Workbook-owned value used by the deterministic ReportKit adapter.</t>
        </is>
      </c>
    </row>
    <row r="11" ht="15" customHeight="1">
      <c r="A11" s="15" t="inlineStr">
        <is>
          <t>GA Target Date</t>
        </is>
      </c>
      <c r="B11" s="28" t="n">
        <v>46325</v>
      </c>
      <c r="C11" s="15" t="inlineStr">
        <is>
          <t>Workbook-owned value used by the deterministic ReportKit adapter.</t>
        </is>
      </c>
    </row>
    <row r="12" ht="15" customHeight="1">
      <c r="A12" s="15" t="inlineStr">
        <is>
          <t>Data As Of</t>
        </is>
      </c>
      <c r="B12" s="28" t="n">
        <v>46315</v>
      </c>
      <c r="C12" s="15" t="inlineStr">
        <is>
          <t>Workbook-owned value used by the deterministic ReportKit adapter.</t>
        </is>
      </c>
    </row>
    <row r="13" ht="15" customHeight="1">
      <c r="A13" s="15" t="inlineStr">
        <is>
          <t>Generated At</t>
        </is>
      </c>
      <c r="B13" s="15" t="inlineStr">
        <is>
          <t>2026-10-20 18:00 UTC</t>
        </is>
      </c>
      <c r="C13" s="15" t="inlineStr">
        <is>
          <t>Workbook-owned value used by the deterministic ReportKit adapter.</t>
        </is>
      </c>
    </row>
    <row r="14" ht="15" customHeight="1">
      <c r="A14" s="15" t="inlineStr">
        <is>
          <t>Classification</t>
        </is>
      </c>
      <c r="B14" s="15" t="inlineStr">
        <is>
          <t>Public sample</t>
        </is>
      </c>
      <c r="C14" s="15" t="inlineStr">
        <is>
          <t>Workbook-owned value used by the deterministic ReportKit adapter.</t>
        </is>
      </c>
    </row>
    <row r="15" ht="15" customHeight="1">
      <c r="A15" s="15" t="inlineStr">
        <is>
          <t>Overall Status</t>
        </is>
      </c>
      <c r="B15" s="15" t="inlineStr">
        <is>
          <t>At Risk</t>
        </is>
      </c>
      <c r="C15" s="15" t="inlineStr">
        <is>
          <t>Workbook-owned value used by the deterministic ReportKit adapter.</t>
        </is>
      </c>
    </row>
    <row r="16" ht="15" customHeight="1">
      <c r="A16" s="15" t="inlineStr">
        <is>
          <t>Overall Status Label</t>
        </is>
      </c>
      <c r="B16" s="15" t="inlineStr">
        <is>
          <t>GA is AT RISK</t>
        </is>
      </c>
      <c r="C16" s="15" t="inlineStr">
        <is>
          <t>Workbook-owned value used by the deterministic ReportKit adapter.</t>
        </is>
      </c>
    </row>
    <row r="17" ht="24" customHeight="1">
      <c r="A17" s="15" t="inlineStr">
        <is>
          <t>Overall Status Summary</t>
        </is>
      </c>
      <c r="B17" s="15" t="inlineStr">
        <is>
          <t>Product engineering is on track, but platform certification and production rollout must complete before approval.</t>
        </is>
      </c>
      <c r="C17" s="15" t="inlineStr">
        <is>
          <t>Workbook-owned value used by the deterministic ReportKit adapter.</t>
        </is>
      </c>
    </row>
    <row r="18" ht="15" customHeight="1">
      <c r="A18" s="15" t="inlineStr">
        <is>
          <t>Decision Question</t>
        </is>
      </c>
      <c r="B18" s="15" t="inlineStr">
        <is>
          <t>Can Contoso Secure SDK proceed to general availability on October 30, 2026?</t>
        </is>
      </c>
      <c r="C18" s="15" t="inlineStr">
        <is>
          <t>Workbook-owned value used by the deterministic ReportKit adapter.</t>
        </is>
      </c>
    </row>
    <row r="19" ht="15" customHeight="1">
      <c r="A19" s="15" t="inlineStr">
        <is>
          <t>Refresh Cadence</t>
        </is>
      </c>
      <c r="B19" s="15" t="inlineStr">
        <is>
          <t>Daily</t>
        </is>
      </c>
      <c r="C19" s="15" t="inlineStr">
        <is>
          <t>Workbook-owned value used by the deterministic ReportKit adapter.</t>
        </is>
      </c>
    </row>
    <row r="20" ht="15" customHeight="1">
      <c r="A20" s="15" t="inlineStr">
        <is>
          <t>Report Period Start</t>
        </is>
      </c>
      <c r="B20" s="28" t="n">
        <v>46315</v>
      </c>
      <c r="C20" s="15" t="inlineStr">
        <is>
          <t>Workbook-owned value used by the deterministic ReportKit adapter.</t>
        </is>
      </c>
    </row>
    <row r="21" ht="15" customHeight="1">
      <c r="A21" s="15" t="inlineStr">
        <is>
          <t>Report Period End</t>
        </is>
      </c>
      <c r="B21" s="28" t="n">
        <v>46325</v>
      </c>
      <c r="C21" s="15" t="inlineStr">
        <is>
          <t>Workbook-owned value used by the deterministic ReportKit adapter.</t>
        </is>
      </c>
    </row>
    <row r="22" ht="15" customHeight="1">
      <c r="A22" s="15" t="inlineStr">
        <is>
          <t>Template ID</t>
        </is>
      </c>
      <c r="B22" s="15" t="inlineStr">
        <is>
          <t>microsoft/product-ga-readiness</t>
        </is>
      </c>
      <c r="C22" s="15" t="inlineStr">
        <is>
          <t>Workbook-owned value used by the deterministic ReportKit adapter.</t>
        </is>
      </c>
    </row>
    <row r="23" ht="15" customHeight="1">
      <c r="A23" s="15" t="inlineStr">
        <is>
          <t>Template Version</t>
        </is>
      </c>
      <c r="B23" s="15" t="inlineStr">
        <is>
          <t>1.0.0</t>
        </is>
      </c>
      <c r="C23" s="15" t="inlineStr">
        <is>
          <t>Workbook-owned value used by the deterministic ReportKit adapter.</t>
        </is>
      </c>
    </row>
    <row r="24" ht="15" customHeight="1">
      <c r="A24" s="15" t="inlineStr">
        <is>
          <t>Primary Color</t>
        </is>
      </c>
      <c r="B24" s="15" t="inlineStr">
        <is>
          <t>#1557B0</t>
        </is>
      </c>
      <c r="C24" s="15" t="inlineStr">
        <is>
          <t>Workbook-owned value used by the deterministic ReportKit adapter.</t>
        </is>
      </c>
    </row>
  </sheetData>
  <mergeCells count="3">
    <mergeCell ref="A2:H2"/>
    <mergeCell ref="E4:H4"/>
    <mergeCell ref="A1:H1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tabColor rgb="FF2563EB"/>
    <outlinePr summaryBelow="1" summaryRight="1"/>
    <pageSetUpPr/>
  </sheetPr>
  <dimension ref="A1:K11"/>
  <sheetViews>
    <sheetView showGridLines="0" workbookViewId="0">
      <pane ySplit="5" topLeftCell="A6" activePane="bottomLeft" state="frozen"/>
      <selection activeCell="A1" sqref="A1"/>
    </sheetView>
  </sheetViews>
  <sheetFormatPr baseColWidth="8" defaultRowHeight="15"/>
  <cols>
    <col width="14" customWidth="1" min="1" max="1"/>
    <col width="30" customWidth="1" min="2" max="2"/>
    <col width="17" customWidth="1" min="3" max="3"/>
    <col width="16" customWidth="1" min="4" max="4"/>
    <col width="16" customWidth="1" min="5" max="5"/>
    <col width="12" customWidth="1" min="6" max="6"/>
    <col width="64" customWidth="1" min="7" max="7"/>
    <col width="38" customWidth="1" min="8" max="8"/>
    <col width="15" customWidth="1" min="9" max="9"/>
    <col width="14" customWidth="1" min="10" max="10"/>
    <col width="14" customWidth="1" min="11" max="11"/>
  </cols>
  <sheetData>
    <row r="1" ht="34" customHeight="1">
      <c r="A1" s="3" t="inlineStr">
        <is>
          <t>Product GA Readiness — Drone View Gates</t>
        </is>
      </c>
    </row>
    <row r="2" ht="32" customHeight="1">
      <c r="A2" s="7" t="inlineStr">
        <is>
          <t>One row becomes one executive tile. Keep the gate list short, mutually distinct, and decision-oriented.</t>
        </is>
      </c>
    </row>
    <row r="3"/>
    <row r="4">
      <c r="A4" s="25" t="inlineStr">
        <is>
          <t>Total gates</t>
        </is>
      </c>
      <c r="B4" s="26">
        <f>COUNTA(A6:A105)</f>
        <v/>
      </c>
      <c r="C4" s="21" t="inlineStr">
        <is>
          <t>Ready / on track</t>
        </is>
      </c>
      <c r="D4" s="21">
        <f>COUNTIF(C6:C105,"Complete")+COUNTIF(C6:C105,"Ready")+COUNTIF(C6:C105,"On Track")</f>
        <v/>
      </c>
      <c r="E4" s="21" t="inlineStr">
        <is>
          <t>GA blockers</t>
        </is>
      </c>
      <c r="F4" s="21">
        <f>COUNTIF(J6:J105,"Yes")</f>
        <v/>
      </c>
    </row>
    <row r="5" ht="34" customHeight="1">
      <c r="A5" s="14" t="inlineStr">
        <is>
          <t>Gate ID</t>
        </is>
      </c>
      <c r="B5" s="14" t="inlineStr">
        <is>
          <t>Gate Name</t>
        </is>
      </c>
      <c r="C5" s="14" t="inlineStr">
        <is>
          <t>Status</t>
        </is>
      </c>
      <c r="D5" s="14" t="inlineStr">
        <is>
          <t>Status Label</t>
        </is>
      </c>
      <c r="E5" s="14" t="inlineStr">
        <is>
          <t>Value</t>
        </is>
      </c>
      <c r="F5" s="14" t="inlineStr">
        <is>
          <t>Unit</t>
        </is>
      </c>
      <c r="G5" s="14" t="inlineStr">
        <is>
          <t>Summary</t>
        </is>
      </c>
      <c r="H5" s="14" t="inlineStr">
        <is>
          <t>Owner</t>
        </is>
      </c>
      <c r="I5" s="14" t="inlineStr">
        <is>
          <t>Target Date</t>
        </is>
      </c>
      <c r="J5" s="14" t="inlineStr">
        <is>
          <t>Blocks GA</t>
        </is>
      </c>
      <c r="K5" s="14" t="inlineStr">
        <is>
          <t>Display Order</t>
        </is>
      </c>
    </row>
    <row r="6" ht="24" customHeight="1">
      <c r="A6" s="15" t="inlineStr">
        <is>
          <t>product-engineering</t>
        </is>
      </c>
      <c r="B6" s="15" t="inlineStr">
        <is>
          <t>Product engineering</t>
        </is>
      </c>
      <c r="C6" s="15" t="inlineStr">
        <is>
          <t>On Track</t>
        </is>
      </c>
      <c r="D6" s="15" t="inlineStr">
        <is>
          <t>ON TRACK</t>
        </is>
      </c>
      <c r="E6" s="15" t="inlineStr">
        <is>
          <t>3 of 3</t>
        </is>
      </c>
      <c r="F6" s="15" t="inlineStr"/>
      <c r="G6" s="15" t="inlineStr">
        <is>
          <t>Core SDK work is complete or on track for the target date.</t>
        </is>
      </c>
      <c r="H6" s="15" t="inlineStr">
        <is>
          <t>Contoso SDK Team</t>
        </is>
      </c>
      <c r="I6" s="28" t="n">
        <v>46325</v>
      </c>
      <c r="J6" s="15" t="inlineStr">
        <is>
          <t>No</t>
        </is>
      </c>
      <c r="K6" s="15" t="n">
        <v>1</v>
      </c>
    </row>
    <row r="7" ht="15" customHeight="1">
      <c r="A7" s="15" t="inlineStr">
        <is>
          <t>platform-readiness</t>
        </is>
      </c>
      <c r="B7" s="15" t="inlineStr">
        <is>
          <t>Platform readiness</t>
        </is>
      </c>
      <c r="C7" s="15" t="inlineStr">
        <is>
          <t>At Risk</t>
        </is>
      </c>
      <c r="D7" s="15" t="inlineStr">
        <is>
          <t>AT RISK</t>
        </is>
      </c>
      <c r="E7" s="15" t="inlineStr">
        <is>
          <t>1 of 2</t>
        </is>
      </c>
      <c r="F7" s="15" t="inlineStr"/>
      <c r="G7" s="15" t="inlineStr">
        <is>
          <t>One required secure runtime still needs certification.</t>
        </is>
      </c>
      <c r="H7" s="15" t="inlineStr">
        <is>
          <t>Contoso Platform Team</t>
        </is>
      </c>
      <c r="I7" s="28" t="n">
        <v>46322</v>
      </c>
      <c r="J7" s="15" t="inlineStr">
        <is>
          <t>Yes</t>
        </is>
      </c>
      <c r="K7" s="15" t="n">
        <v>2</v>
      </c>
    </row>
    <row r="8" ht="15" customHeight="1">
      <c r="A8" s="15" t="inlineStr">
        <is>
          <t>service-readiness</t>
        </is>
      </c>
      <c r="B8" s="15" t="inlineStr">
        <is>
          <t>Dependent service readiness</t>
        </is>
      </c>
      <c r="C8" s="15" t="inlineStr">
        <is>
          <t>At Risk</t>
        </is>
      </c>
      <c r="D8" s="15" t="inlineStr">
        <is>
          <t>AT RISK</t>
        </is>
      </c>
      <c r="E8" s="15" t="inlineStr">
        <is>
          <t>Canary passed</t>
        </is>
      </c>
      <c r="F8" s="15" t="inlineStr"/>
      <c r="G8" s="15" t="inlineStr">
        <is>
          <t>The production rollout is not complete.</t>
        </is>
      </c>
      <c r="H8" s="15" t="inlineStr">
        <is>
          <t>Contoso Service Team</t>
        </is>
      </c>
      <c r="I8" s="28" t="n">
        <v>46323</v>
      </c>
      <c r="J8" s="15" t="inlineStr">
        <is>
          <t>Yes</t>
        </is>
      </c>
      <c r="K8" s="15" t="n">
        <v>3</v>
      </c>
    </row>
    <row r="9" ht="15" customHeight="1">
      <c r="A9" s="15" t="inlineStr">
        <is>
          <t>documentation</t>
        </is>
      </c>
      <c r="B9" s="15" t="inlineStr">
        <is>
          <t>Documentation</t>
        </is>
      </c>
      <c r="C9" s="15" t="inlineStr">
        <is>
          <t>Update Required</t>
        </is>
      </c>
      <c r="D9" s="15" t="inlineStr">
        <is>
          <t>UPDATE</t>
        </is>
      </c>
      <c r="E9" s="15" t="inlineStr">
        <is>
          <t>Draft ready</t>
        </is>
      </c>
      <c r="F9" s="15" t="inlineStr"/>
      <c r="G9" s="15" t="inlineStr">
        <is>
          <t>Final approval and publication evidence are required.</t>
        </is>
      </c>
      <c r="H9" s="15" t="inlineStr">
        <is>
          <t>Contoso Content Team</t>
        </is>
      </c>
      <c r="I9" s="28" t="n">
        <v>46324</v>
      </c>
      <c r="J9" s="15" t="inlineStr">
        <is>
          <t>No</t>
        </is>
      </c>
      <c r="K9" s="15" t="n">
        <v>4</v>
      </c>
    </row>
    <row r="10" ht="15" customHeight="1">
      <c r="A10" s="15" t="inlineStr">
        <is>
          <t>release-notes</t>
        </is>
      </c>
      <c r="B10" s="15" t="inlineStr">
        <is>
          <t>Release notes</t>
        </is>
      </c>
      <c r="C10" s="15" t="inlineStr">
        <is>
          <t>Update Required</t>
        </is>
      </c>
      <c r="D10" s="15" t="inlineStr">
        <is>
          <t>UPDATE</t>
        </is>
      </c>
      <c r="E10" s="15" t="inlineStr">
        <is>
          <t>In review</t>
        </is>
      </c>
      <c r="F10" s="15" t="inlineStr"/>
      <c r="G10" s="15" t="inlineStr">
        <is>
          <t>Engineering approval is still pending.</t>
        </is>
      </c>
      <c r="H10" s="15" t="inlineStr">
        <is>
          <t>Contoso Release Team</t>
        </is>
      </c>
      <c r="I10" s="28" t="n">
        <v>46324</v>
      </c>
      <c r="J10" s="15" t="inlineStr">
        <is>
          <t>No</t>
        </is>
      </c>
      <c r="K10" s="15" t="n">
        <v>5</v>
      </c>
    </row>
    <row r="11" ht="15" customHeight="1">
      <c r="A11" s="15" t="inlineStr">
        <is>
          <t>announcement</t>
        </is>
      </c>
      <c r="B11" s="15" t="inlineStr">
        <is>
          <t>Launch announcement</t>
        </is>
      </c>
      <c r="C11" s="15" t="inlineStr">
        <is>
          <t>In Progress</t>
        </is>
      </c>
      <c r="D11" s="15" t="inlineStr">
        <is>
          <t>IN PROGRESS</t>
        </is>
      </c>
      <c r="E11" s="15" t="inlineStr">
        <is>
          <t>Scheduled</t>
        </is>
      </c>
      <c r="F11" s="15" t="inlineStr"/>
      <c r="G11" s="15" t="inlineStr">
        <is>
          <t>Final messaging and channel confirmation remain open.</t>
        </is>
      </c>
      <c r="H11" s="15" t="inlineStr">
        <is>
          <t>Contoso Communications</t>
        </is>
      </c>
      <c r="I11" s="28" t="n">
        <v>46325</v>
      </c>
      <c r="J11" s="15" t="inlineStr">
        <is>
          <t>No</t>
        </is>
      </c>
      <c r="K11" s="15" t="n">
        <v>6</v>
      </c>
    </row>
  </sheetData>
  <mergeCells count="2">
    <mergeCell ref="A2:K2"/>
    <mergeCell ref="A1:K1"/>
  </mergeCells>
  <conditionalFormatting sqref="C6:C11">
    <cfRule type="containsText" priority="1" operator="containsText" dxfId="0" text="Complete"/>
    <cfRule type="containsText" priority="2" operator="containsText" dxfId="0" text="Ready"/>
    <cfRule type="containsText" priority="3" operator="containsText" dxfId="0" text="On Track"/>
    <cfRule type="containsText" priority="4" operator="containsText" dxfId="3" text="At Risk"/>
    <cfRule type="containsText" priority="5" operator="containsText" dxfId="3" text="Blocked"/>
    <cfRule type="containsText" priority="6" operator="containsText" dxfId="5" text="Update Required"/>
    <cfRule type="containsText" priority="7" operator="containsText" dxfId="6" text="Pending Review"/>
    <cfRule type="containsText" priority="8" operator="containsText" dxfId="7" text="In Progress"/>
    <cfRule type="containsText" priority="9" operator="containsText" dxfId="8" text="Not Started"/>
    <cfRule type="containsText" priority="10" operator="containsText" dxfId="8" text="Unknown"/>
  </conditionalFormatting>
  <dataValidations count="2">
    <dataValidation sqref="C6:C11" showDropDown="0" showInputMessage="0" showErrorMessage="0" allowBlank="0" type="list">
      <formula1>"Complete,Ready,On Track,At Risk,Blocked,Update Required,Pending Review,In Progress,Not Started,Unknown,N/A"</formula1>
    </dataValidation>
    <dataValidation sqref="J6:J11" showDropDown="0" showInputMessage="0" showErrorMessage="0" allowBlank="0" type="list">
      <formula1>"Yes,No"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tabColor rgb="FF2563EB"/>
    <outlinePr summaryBelow="1" summaryRight="1"/>
    <pageSetUpPr/>
  </sheetPr>
  <dimension ref="A1:N13"/>
  <sheetViews>
    <sheetView showGridLines="0" workbookViewId="0">
      <pane ySplit="5" topLeftCell="A6" activePane="bottomLeft" state="frozen"/>
      <selection activeCell="A1" sqref="A1"/>
    </sheetView>
  </sheetViews>
  <sheetFormatPr baseColWidth="8" defaultRowHeight="15"/>
  <cols>
    <col width="15" customWidth="1" min="1" max="1"/>
    <col width="38" customWidth="1" min="2" max="2"/>
    <col width="28" customWidth="1" min="3" max="3"/>
    <col width="20" customWidth="1" min="4" max="4"/>
    <col width="17" customWidth="1" min="5" max="5"/>
    <col width="14" customWidth="1" min="6" max="6"/>
    <col width="42" customWidth="1" min="7" max="7"/>
    <col width="15" customWidth="1" min="8" max="8"/>
    <col width="16" customWidth="1" min="9" max="9"/>
    <col width="38" customWidth="1" min="10" max="10"/>
    <col width="32" customWidth="1" min="11" max="11"/>
    <col width="62" customWidth="1" min="12" max="12"/>
    <col width="58" customWidth="1" min="13" max="13"/>
    <col width="14" customWidth="1" min="14" max="14"/>
  </cols>
  <sheetData>
    <row r="1" ht="34" customHeight="1">
      <c r="A1" s="3" t="inlineStr">
        <is>
          <t>Product GA Readiness — Milestones</t>
        </is>
      </c>
    </row>
    <row r="2" ht="32" customHeight="1">
      <c r="A2" s="7" t="inlineStr">
        <is>
          <t>Track completed, current, and future delivery points. Progress and status are separate: status is the management signal; progress is supporting context.</t>
        </is>
      </c>
    </row>
    <row r="3"/>
    <row r="4">
      <c r="A4" s="25" t="inlineStr">
        <is>
          <t>Total milestones</t>
        </is>
      </c>
      <c r="B4" s="26">
        <f>COUNTA(A6:A205)</f>
        <v/>
      </c>
      <c r="C4" s="21" t="inlineStr">
        <is>
          <t>Complete</t>
        </is>
      </c>
      <c r="D4" s="21">
        <f>COUNTIF(E6:E205,"Complete")</f>
        <v/>
      </c>
      <c r="E4" s="21" t="inlineStr">
        <is>
          <t>Open</t>
        </is>
      </c>
      <c r="F4" s="21">
        <f>B4-D4</f>
        <v/>
      </c>
      <c r="G4" s="21" t="inlineStr">
        <is>
          <t>Refresh</t>
        </is>
      </c>
      <c r="H4" s="21" t="inlineStr">
        <is>
          <t>Daily</t>
        </is>
      </c>
    </row>
    <row r="5" ht="34" customHeight="1">
      <c r="A5" s="14" t="inlineStr">
        <is>
          <t>Milestone ID</t>
        </is>
      </c>
      <c r="B5" s="14" t="inlineStr">
        <is>
          <t>Milestone</t>
        </is>
      </c>
      <c r="C5" s="14" t="inlineStr">
        <is>
          <t>Workstream</t>
        </is>
      </c>
      <c r="D5" s="14" t="inlineStr">
        <is>
          <t>Milestone Type</t>
        </is>
      </c>
      <c r="E5" s="14" t="inlineStr">
        <is>
          <t>Status</t>
        </is>
      </c>
      <c r="F5" s="14" t="inlineStr">
        <is>
          <t>Progress %</t>
        </is>
      </c>
      <c r="G5" s="14" t="inlineStr">
        <is>
          <t>Owner</t>
        </is>
      </c>
      <c r="H5" s="14" t="inlineStr">
        <is>
          <t>Target Date</t>
        </is>
      </c>
      <c r="I5" s="14" t="inlineStr">
        <is>
          <t>Completed Date</t>
        </is>
      </c>
      <c r="J5" s="14" t="inlineStr">
        <is>
          <t>Dependency</t>
        </is>
      </c>
      <c r="K5" s="14" t="inlineStr">
        <is>
          <t>GA Impact</t>
        </is>
      </c>
      <c r="L5" s="14" t="inlineStr">
        <is>
          <t>Current Evidence</t>
        </is>
      </c>
      <c r="M5" s="14" t="inlineStr">
        <is>
          <t>Next Action</t>
        </is>
      </c>
      <c r="N5" s="14" t="inlineStr">
        <is>
          <t>Display Order</t>
        </is>
      </c>
    </row>
    <row r="6" ht="15" customHeight="1">
      <c r="A6" s="15" t="inlineStr">
        <is>
          <t>milestone-1</t>
        </is>
      </c>
      <c r="B6" s="15" t="inlineStr">
        <is>
          <t>Core dependency released</t>
        </is>
      </c>
      <c r="C6" s="15" t="inlineStr">
        <is>
          <t>Product engineering</t>
        </is>
      </c>
      <c r="D6" s="15" t="inlineStr">
        <is>
          <t>Release</t>
        </is>
      </c>
      <c r="E6" s="15" t="inlineStr">
        <is>
          <t>Complete</t>
        </is>
      </c>
      <c r="F6" s="29" t="n">
        <v>1</v>
      </c>
      <c r="G6" s="15" t="inlineStr">
        <is>
          <t>Contoso Identity Team</t>
        </is>
      </c>
      <c r="H6" s="28" t="n">
        <v>46310</v>
      </c>
      <c r="I6" s="28" t="n">
        <v>46310</v>
      </c>
      <c r="J6" s="15" t="inlineStr"/>
      <c r="K6" s="15" t="inlineStr">
        <is>
          <t>Released dependency</t>
        </is>
      </c>
      <c r="L6" s="15" t="inlineStr">
        <is>
          <t>The dependency package is available for consumption.</t>
        </is>
      </c>
      <c r="M6" s="15" t="inlineStr">
        <is>
          <t>Maintain release availability.</t>
        </is>
      </c>
      <c r="N6" s="15" t="n">
        <v>1</v>
      </c>
    </row>
    <row r="7" ht="15" customHeight="1">
      <c r="A7" s="15" t="inlineStr">
        <is>
          <t>milestone-2</t>
        </is>
      </c>
      <c r="B7" s="15" t="inlineStr">
        <is>
          <t>SDK integration complete</t>
        </is>
      </c>
      <c r="C7" s="15" t="inlineStr">
        <is>
          <t>Product engineering</t>
        </is>
      </c>
      <c r="D7" s="15" t="inlineStr">
        <is>
          <t>Integration</t>
        </is>
      </c>
      <c r="E7" s="15" t="inlineStr">
        <is>
          <t>On Track</t>
        </is>
      </c>
      <c r="F7" s="29" t="n">
        <v>0.85</v>
      </c>
      <c r="G7" s="15" t="inlineStr">
        <is>
          <t>Contoso SDK Team</t>
        </is>
      </c>
      <c r="H7" s="28" t="n">
        <v>46319</v>
      </c>
      <c r="I7" s="28" t="inlineStr"/>
      <c r="J7" s="15" t="inlineStr">
        <is>
          <t>Core dependency released</t>
        </is>
      </c>
      <c r="K7" s="15" t="inlineStr">
        <is>
          <t>Supports primary GA</t>
        </is>
      </c>
      <c r="L7" s="15" t="inlineStr">
        <is>
          <t>Integration tests are passing.</t>
        </is>
      </c>
      <c r="M7" s="15" t="inlineStr">
        <is>
          <t>Complete release sign-off.</t>
        </is>
      </c>
      <c r="N7" s="15" t="n">
        <v>2</v>
      </c>
    </row>
    <row r="8" ht="15" customHeight="1">
      <c r="A8" s="15" t="inlineStr">
        <is>
          <t>milestone-3</t>
        </is>
      </c>
      <c r="B8" s="15" t="inlineStr">
        <is>
          <t>Secure runtime certification</t>
        </is>
      </c>
      <c r="C8" s="15" t="inlineStr">
        <is>
          <t>Platform readiness</t>
        </is>
      </c>
      <c r="D8" s="15" t="inlineStr">
        <is>
          <t>Certification</t>
        </is>
      </c>
      <c r="E8" s="15" t="inlineStr">
        <is>
          <t>Blocked</t>
        </is>
      </c>
      <c r="F8" s="29" t="n">
        <v>0.65</v>
      </c>
      <c r="G8" s="15" t="inlineStr">
        <is>
          <t>Contoso Platform Team</t>
        </is>
      </c>
      <c r="H8" s="28" t="n">
        <v>46322</v>
      </c>
      <c r="I8" s="28" t="inlineStr"/>
      <c r="J8" s="15" t="inlineStr">
        <is>
          <t>Certification lab capacity</t>
        </is>
      </c>
      <c r="K8" s="15" t="inlineStr">
        <is>
          <t>Confirmed GA blocker</t>
        </is>
      </c>
      <c r="L8" s="15" t="inlineStr">
        <is>
          <t>The final certification suite has not completed.</t>
        </is>
      </c>
      <c r="M8" s="15" t="inlineStr">
        <is>
          <t>Complete certification and publish evidence.</t>
        </is>
      </c>
      <c r="N8" s="15" t="n">
        <v>3</v>
      </c>
    </row>
    <row r="9" ht="15" customHeight="1">
      <c r="A9" s="15" t="inlineStr">
        <is>
          <t>milestone-4</t>
        </is>
      </c>
      <c r="B9" s="15" t="inlineStr">
        <is>
          <t>Production service rollout</t>
        </is>
      </c>
      <c r="C9" s="15" t="inlineStr">
        <is>
          <t>Dependent service readiness</t>
        </is>
      </c>
      <c r="D9" s="15" t="inlineStr">
        <is>
          <t>Deployment</t>
        </is>
      </c>
      <c r="E9" s="15" t="inlineStr">
        <is>
          <t>At Risk</t>
        </is>
      </c>
      <c r="F9" s="29" t="n">
        <v>0.75</v>
      </c>
      <c r="G9" s="15" t="inlineStr">
        <is>
          <t>Contoso Service Team</t>
        </is>
      </c>
      <c r="H9" s="28" t="n">
        <v>46323</v>
      </c>
      <c r="I9" s="28" t="inlineStr"/>
      <c r="J9" s="15" t="inlineStr">
        <is>
          <t>Regional deployment approval</t>
        </is>
      </c>
      <c r="K9" s="15" t="inlineStr">
        <is>
          <t>Confirmed GA blocker</t>
        </is>
      </c>
      <c r="L9" s="15" t="inlineStr">
        <is>
          <t>Canary validation passed; production rollout is pending.</t>
        </is>
      </c>
      <c r="M9" s="15" t="inlineStr">
        <is>
          <t>Deploy globally and validate telemetry.</t>
        </is>
      </c>
      <c r="N9" s="15" t="n">
        <v>4</v>
      </c>
    </row>
    <row r="10" ht="24" customHeight="1">
      <c r="A10" s="15" t="inlineStr">
        <is>
          <t>milestone-5</t>
        </is>
      </c>
      <c r="B10" s="15" t="inlineStr">
        <is>
          <t>GA documentation approved</t>
        </is>
      </c>
      <c r="C10" s="15" t="inlineStr">
        <is>
          <t>Launch readiness</t>
        </is>
      </c>
      <c r="D10" s="15" t="inlineStr">
        <is>
          <t>Documentation</t>
        </is>
      </c>
      <c r="E10" s="15" t="inlineStr">
        <is>
          <t>Pending Review</t>
        </is>
      </c>
      <c r="F10" s="29" t="n">
        <v>0.7</v>
      </c>
      <c r="G10" s="15" t="inlineStr">
        <is>
          <t>Contoso Content Team</t>
        </is>
      </c>
      <c r="H10" s="28" t="n">
        <v>46324</v>
      </c>
      <c r="I10" s="28" t="inlineStr"/>
      <c r="J10" s="15" t="inlineStr">
        <is>
          <t>Engineering review</t>
        </is>
      </c>
      <c r="K10" s="15" t="inlineStr">
        <is>
          <t>Launch readiness</t>
        </is>
      </c>
      <c r="L10" s="15" t="inlineStr">
        <is>
          <t>Draft documentation is under review.</t>
        </is>
      </c>
      <c r="M10" s="15" t="inlineStr">
        <is>
          <t>Obtain final approval and publish.</t>
        </is>
      </c>
      <c r="N10" s="15" t="n">
        <v>5</v>
      </c>
    </row>
    <row r="11" ht="15" customHeight="1">
      <c r="A11" s="15" t="inlineStr">
        <is>
          <t>milestone-6</t>
        </is>
      </c>
      <c r="B11" s="15" t="inlineStr">
        <is>
          <t>Release notes approved</t>
        </is>
      </c>
      <c r="C11" s="15" t="inlineStr">
        <is>
          <t>Launch readiness</t>
        </is>
      </c>
      <c r="D11" s="15" t="inlineStr">
        <is>
          <t>Release notes</t>
        </is>
      </c>
      <c r="E11" s="15" t="inlineStr">
        <is>
          <t>In Progress</t>
        </is>
      </c>
      <c r="F11" s="29" t="n">
        <v>0.6</v>
      </c>
      <c r="G11" s="15" t="inlineStr">
        <is>
          <t>Contoso Release Team</t>
        </is>
      </c>
      <c r="H11" s="28" t="n">
        <v>46324</v>
      </c>
      <c r="I11" s="28" t="inlineStr"/>
      <c r="J11" s="15" t="inlineStr">
        <is>
          <t>Release sign-off</t>
        </is>
      </c>
      <c r="K11" s="15" t="inlineStr">
        <is>
          <t>Launch readiness</t>
        </is>
      </c>
      <c r="L11" s="15" t="inlineStr">
        <is>
          <t>Release notes have entered review.</t>
        </is>
      </c>
      <c r="M11" s="15" t="inlineStr">
        <is>
          <t>Complete engineering approval.</t>
        </is>
      </c>
      <c r="N11" s="15" t="n">
        <v>6</v>
      </c>
    </row>
    <row r="12" ht="15" customHeight="1">
      <c r="A12" s="15" t="inlineStr">
        <is>
          <t>milestone-7</t>
        </is>
      </c>
      <c r="B12" s="15" t="inlineStr">
        <is>
          <t>Announcement scheduled</t>
        </is>
      </c>
      <c r="C12" s="15" t="inlineStr">
        <is>
          <t>Launch readiness</t>
        </is>
      </c>
      <c r="D12" s="15" t="inlineStr">
        <is>
          <t>Announcement</t>
        </is>
      </c>
      <c r="E12" s="15" t="inlineStr">
        <is>
          <t>In Progress</t>
        </is>
      </c>
      <c r="F12" s="29" t="n">
        <v>0.5</v>
      </c>
      <c r="G12" s="15" t="inlineStr">
        <is>
          <t>Contoso Communications</t>
        </is>
      </c>
      <c r="H12" s="28" t="n">
        <v>46325</v>
      </c>
      <c r="I12" s="28" t="inlineStr"/>
      <c r="J12" s="15" t="inlineStr">
        <is>
          <t>Messaging approval</t>
        </is>
      </c>
      <c r="K12" s="15" t="inlineStr">
        <is>
          <t>Launch readiness</t>
        </is>
      </c>
      <c r="L12" s="15" t="inlineStr">
        <is>
          <t>A draft announcement and channel plan exist.</t>
        </is>
      </c>
      <c r="M12" s="15" t="inlineStr">
        <is>
          <t>Confirm approvers and publication time.</t>
        </is>
      </c>
      <c r="N12" s="15" t="n">
        <v>7</v>
      </c>
    </row>
    <row r="13" ht="24" customHeight="1">
      <c r="A13" s="15" t="inlineStr">
        <is>
          <t>milestone-8</t>
        </is>
      </c>
      <c r="B13" s="15" t="inlineStr">
        <is>
          <t>Post-GA adoption checkpoint</t>
        </is>
      </c>
      <c r="C13" s="15" t="inlineStr">
        <is>
          <t>Customer adoption</t>
        </is>
      </c>
      <c r="D13" s="15" t="inlineStr">
        <is>
          <t>Adoption</t>
        </is>
      </c>
      <c r="E13" s="15" t="inlineStr">
        <is>
          <t>Not Started</t>
        </is>
      </c>
      <c r="F13" s="29" t="n">
        <v>0</v>
      </c>
      <c r="G13" s="15" t="inlineStr">
        <is>
          <t>Contoso Customer Success</t>
        </is>
      </c>
      <c r="H13" s="28" t="n">
        <v>46339</v>
      </c>
      <c r="I13" s="28" t="inlineStr"/>
      <c r="J13" s="15" t="inlineStr">
        <is>
          <t>GA publication</t>
        </is>
      </c>
      <c r="K13" s="15" t="inlineStr">
        <is>
          <t>Follow-on adoption</t>
        </is>
      </c>
      <c r="L13" s="15" t="inlineStr">
        <is>
          <t>The checkpoint is planned after GA.</t>
        </is>
      </c>
      <c r="M13" s="15" t="inlineStr">
        <is>
          <t>Confirm participating customers.</t>
        </is>
      </c>
      <c r="N13" s="15" t="n">
        <v>8</v>
      </c>
    </row>
  </sheetData>
  <mergeCells count="2">
    <mergeCell ref="A2:N2"/>
    <mergeCell ref="A1:N1"/>
  </mergeCells>
  <conditionalFormatting sqref="E6:E13">
    <cfRule type="containsText" priority="1" operator="containsText" dxfId="0" text="Complete"/>
    <cfRule type="containsText" priority="2" operator="containsText" dxfId="0" text="Ready"/>
    <cfRule type="containsText" priority="3" operator="containsText" dxfId="0" text="On Track"/>
    <cfRule type="containsText" priority="4" operator="containsText" dxfId="3" text="At Risk"/>
    <cfRule type="containsText" priority="5" operator="containsText" dxfId="3" text="Blocked"/>
    <cfRule type="containsText" priority="6" operator="containsText" dxfId="5" text="Update Required"/>
    <cfRule type="containsText" priority="7" operator="containsText" dxfId="6" text="Pending Review"/>
    <cfRule type="containsText" priority="8" operator="containsText" dxfId="7" text="In Progress"/>
    <cfRule type="containsText" priority="9" operator="containsText" dxfId="8" text="Not Started"/>
    <cfRule type="containsText" priority="10" operator="containsText" dxfId="8" text="Unknown"/>
  </conditionalFormatting>
  <dataValidations count="2">
    <dataValidation sqref="E6:E13" showDropDown="0" showInputMessage="0" showErrorMessage="0" allowBlank="0" type="list">
      <formula1>"Complete,Ready,On Track,At Risk,Blocked,Update Required,Pending Review,In Progress,Not Started,Unknown,N/A"</formula1>
    </dataValidation>
    <dataValidation sqref="F6:F13" showDropDown="0" showInputMessage="0" showErrorMessage="0" allowBlank="0" type="decimal" operator="between">
      <formula1>0</formula1>
      <formula2>100</formula2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tabColor rgb="FF2563EB"/>
    <outlinePr summaryBelow="1" summaryRight="1"/>
    <pageSetUpPr/>
  </sheetPr>
  <dimension ref="A1:M12"/>
  <sheetViews>
    <sheetView showGridLines="0" workbookViewId="0">
      <pane ySplit="5" topLeftCell="A6" activePane="bottomLeft" state="frozen"/>
      <selection activeCell="A1" sqref="A1"/>
    </sheetView>
  </sheetViews>
  <sheetFormatPr baseColWidth="8" defaultRowHeight="15"/>
  <cols>
    <col width="15" customWidth="1" min="1" max="1"/>
    <col width="18" customWidth="1" min="2" max="2"/>
    <col width="58" customWidth="1" min="3" max="3"/>
    <col width="17" customWidth="1" min="4" max="4"/>
    <col width="42" customWidth="1" min="5" max="5"/>
    <col width="36" customWidth="1" min="6" max="6"/>
    <col width="15" customWidth="1" min="7" max="7"/>
    <col width="13" customWidth="1" min="8" max="8"/>
    <col width="54" customWidth="1" min="9" max="9"/>
    <col width="66" customWidth="1" min="10" max="10"/>
    <col width="58" customWidth="1" min="11" max="11"/>
    <col width="28" customWidth="1" min="12" max="12"/>
    <col width="14" customWidth="1" min="13" max="13"/>
  </cols>
  <sheetData>
    <row r="1" ht="34" customHeight="1">
      <c r="A1" s="3" t="inlineStr">
        <is>
          <t>Product GA Readiness — Decisions &amp; Support</t>
        </is>
      </c>
    </row>
    <row r="2" ht="32" customHeight="1">
      <c r="A2" s="7" t="inlineStr">
        <is>
          <t>Track the work that needs a management decision, commitment, escalation, or cross-team support. Use Blocks GA=Yes only for the current primary GA decision.</t>
        </is>
      </c>
    </row>
    <row r="3"/>
    <row r="4">
      <c r="A4" s="25" t="inlineStr">
        <is>
          <t>Open requests</t>
        </is>
      </c>
      <c r="B4" s="26">
        <f>COUNTA(A6:A205)-COUNTIF(D6:D205,"Complete")</f>
        <v/>
      </c>
      <c r="C4" s="21" t="inlineStr">
        <is>
          <t>Blocked</t>
        </is>
      </c>
      <c r="D4" s="21">
        <f>COUNTIF(D6:D205,"Blocked")</f>
        <v/>
      </c>
      <c r="E4" s="21" t="inlineStr">
        <is>
          <t>Confirmed GA blockers</t>
        </is>
      </c>
      <c r="F4" s="21">
        <f>COUNTIF(H6:H205,"Yes")</f>
        <v/>
      </c>
      <c r="G4" s="21" t="inlineStr">
        <is>
          <t>Refresh</t>
        </is>
      </c>
      <c r="H4" s="21" t="inlineStr">
        <is>
          <t>Daily</t>
        </is>
      </c>
    </row>
    <row r="5" ht="34" customHeight="1">
      <c r="A5" s="14" t="inlineStr">
        <is>
          <t>Request ID</t>
        </is>
      </c>
      <c r="B5" s="14" t="inlineStr">
        <is>
          <t>Type</t>
        </is>
      </c>
      <c r="C5" s="14" t="inlineStr">
        <is>
          <t>Decision or Support Needed</t>
        </is>
      </c>
      <c r="D5" s="14" t="inlineStr">
        <is>
          <t>Status</t>
        </is>
      </c>
      <c r="E5" s="14" t="inlineStr">
        <is>
          <t>Owner</t>
        </is>
      </c>
      <c r="F5" s="14" t="inlineStr">
        <is>
          <t>Needed From</t>
        </is>
      </c>
      <c r="G5" s="14" t="inlineStr">
        <is>
          <t>Due Date</t>
        </is>
      </c>
      <c r="H5" s="14" t="inlineStr">
        <is>
          <t>Blocks GA</t>
        </is>
      </c>
      <c r="I5" s="14" t="inlineStr">
        <is>
          <t>Outcome Needed</t>
        </is>
      </c>
      <c r="J5" s="14" t="inlineStr">
        <is>
          <t>Current Context</t>
        </is>
      </c>
      <c r="K5" s="14" t="inlineStr">
        <is>
          <t>Next Step</t>
        </is>
      </c>
      <c r="L5" s="14" t="inlineStr">
        <is>
          <t>Scope or Related Record</t>
        </is>
      </c>
      <c r="M5" s="14" t="inlineStr">
        <is>
          <t>Display Order</t>
        </is>
      </c>
    </row>
    <row r="6" ht="15" customHeight="1">
      <c r="A6" s="15" t="inlineStr">
        <is>
          <t>request-1</t>
        </is>
      </c>
      <c r="B6" s="15" t="inlineStr">
        <is>
          <t>Decision</t>
        </is>
      </c>
      <c r="C6" s="15" t="inlineStr">
        <is>
          <t>Approve additional certification capacity</t>
        </is>
      </c>
      <c r="D6" s="15" t="inlineStr">
        <is>
          <t>Pending Review</t>
        </is>
      </c>
      <c r="E6" s="15" t="inlineStr">
        <is>
          <t>Contoso Program Team</t>
        </is>
      </c>
      <c r="F6" s="15" t="inlineStr">
        <is>
          <t>Contoso Platform Leadership</t>
        </is>
      </c>
      <c r="G6" s="28" t="n">
        <v>46317</v>
      </c>
      <c r="H6" s="15" t="inlineStr">
        <is>
          <t>Yes</t>
        </is>
      </c>
      <c r="I6" s="15" t="inlineStr">
        <is>
          <t>Unblock secure runtime certification</t>
        </is>
      </c>
      <c r="J6" s="15" t="inlineStr">
        <is>
          <t>Capacity is the remaining constraint.</t>
        </is>
      </c>
      <c r="K6" s="15" t="inlineStr">
        <is>
          <t>Confirm the additional test window.</t>
        </is>
      </c>
      <c r="L6" s="15" t="inlineStr">
        <is>
          <t>secure-runtime</t>
        </is>
      </c>
      <c r="M6" s="15" t="n">
        <v>1</v>
      </c>
    </row>
    <row r="7" ht="15" customHeight="1">
      <c r="A7" s="15" t="inlineStr">
        <is>
          <t>request-2</t>
        </is>
      </c>
      <c r="B7" s="15" t="inlineStr">
        <is>
          <t>Support</t>
        </is>
      </c>
      <c r="C7" s="15" t="inlineStr">
        <is>
          <t>Confirm global rollout window</t>
        </is>
      </c>
      <c r="D7" s="15" t="inlineStr">
        <is>
          <t>In Progress</t>
        </is>
      </c>
      <c r="E7" s="15" t="inlineStr">
        <is>
          <t>Contoso Service Team</t>
        </is>
      </c>
      <c r="F7" s="15" t="inlineStr">
        <is>
          <t>Contoso Operations</t>
        </is>
      </c>
      <c r="G7" s="28" t="n">
        <v>46318</v>
      </c>
      <c r="H7" s="15" t="inlineStr">
        <is>
          <t>Yes</t>
        </is>
      </c>
      <c r="I7" s="15" t="inlineStr">
        <is>
          <t>Commit the production deployment schedule</t>
        </is>
      </c>
      <c r="J7" s="15" t="inlineStr">
        <is>
          <t>Canary evidence is available.</t>
        </is>
      </c>
      <c r="K7" s="15" t="inlineStr">
        <is>
          <t>Publish the approved rollout schedule.</t>
        </is>
      </c>
      <c r="L7" s="15" t="inlineStr">
        <is>
          <t>production-rollout</t>
        </is>
      </c>
      <c r="M7" s="15" t="n">
        <v>2</v>
      </c>
    </row>
    <row r="8" ht="24" customHeight="1">
      <c r="A8" s="15" t="inlineStr">
        <is>
          <t>request-3</t>
        </is>
      </c>
      <c r="B8" s="15" t="inlineStr">
        <is>
          <t>Decision</t>
        </is>
      </c>
      <c r="C8" s="15" t="inlineStr">
        <is>
          <t>Approve GA documentation</t>
        </is>
      </c>
      <c r="D8" s="15" t="inlineStr">
        <is>
          <t>Pending Review</t>
        </is>
      </c>
      <c r="E8" s="15" t="inlineStr">
        <is>
          <t>Contoso Content Team</t>
        </is>
      </c>
      <c r="F8" s="15" t="inlineStr">
        <is>
          <t>Contoso Product Leadership</t>
        </is>
      </c>
      <c r="G8" s="28" t="n">
        <v>46322</v>
      </c>
      <c r="H8" s="15" t="inlineStr">
        <is>
          <t>No</t>
        </is>
      </c>
      <c r="I8" s="15" t="inlineStr">
        <is>
          <t>Authorize publication</t>
        </is>
      </c>
      <c r="J8" s="15" t="inlineStr">
        <is>
          <t>The draft is complete.</t>
        </is>
      </c>
      <c r="K8" s="15" t="inlineStr">
        <is>
          <t>Record approval and publication date.</t>
        </is>
      </c>
      <c r="L8" s="15" t="inlineStr">
        <is>
          <t>ga-documentation</t>
        </is>
      </c>
      <c r="M8" s="15" t="n">
        <v>3</v>
      </c>
    </row>
    <row r="9" ht="15" customHeight="1">
      <c r="A9" s="15" t="inlineStr">
        <is>
          <t>request-4</t>
        </is>
      </c>
      <c r="B9" s="15" t="inlineStr">
        <is>
          <t>Action</t>
        </is>
      </c>
      <c r="C9" s="15" t="inlineStr">
        <is>
          <t>Approve release notes</t>
        </is>
      </c>
      <c r="D9" s="15" t="inlineStr">
        <is>
          <t>In Progress</t>
        </is>
      </c>
      <c r="E9" s="15" t="inlineStr">
        <is>
          <t>Contoso Release Team</t>
        </is>
      </c>
      <c r="F9" s="15" t="inlineStr">
        <is>
          <t>Contoso Engineering</t>
        </is>
      </c>
      <c r="G9" s="28" t="n">
        <v>46322</v>
      </c>
      <c r="H9" s="15" t="inlineStr">
        <is>
          <t>No</t>
        </is>
      </c>
      <c r="I9" s="15" t="inlineStr">
        <is>
          <t>Authorize release-note publication</t>
        </is>
      </c>
      <c r="J9" s="15" t="inlineStr">
        <is>
          <t>Technical review is underway.</t>
        </is>
      </c>
      <c r="K9" s="15" t="inlineStr">
        <is>
          <t>Complete review comments.</t>
        </is>
      </c>
      <c r="L9" s="15" t="inlineStr">
        <is>
          <t>release-notes</t>
        </is>
      </c>
      <c r="M9" s="15" t="n">
        <v>4</v>
      </c>
    </row>
    <row r="10" ht="15" customHeight="1">
      <c r="A10" s="15" t="inlineStr">
        <is>
          <t>request-5</t>
        </is>
      </c>
      <c r="B10" s="15" t="inlineStr">
        <is>
          <t>Support</t>
        </is>
      </c>
      <c r="C10" s="15" t="inlineStr">
        <is>
          <t>Confirm announcement channel</t>
        </is>
      </c>
      <c r="D10" s="15" t="inlineStr">
        <is>
          <t>Not Started</t>
        </is>
      </c>
      <c r="E10" s="15" t="inlineStr">
        <is>
          <t>Contoso Communications</t>
        </is>
      </c>
      <c r="F10" s="15" t="inlineStr">
        <is>
          <t>Contoso Marketing</t>
        </is>
      </c>
      <c r="G10" s="28" t="n">
        <v>46323</v>
      </c>
      <c r="H10" s="15" t="inlineStr">
        <is>
          <t>No</t>
        </is>
      </c>
      <c r="I10" s="15" t="inlineStr">
        <is>
          <t>Finalize the launch channel</t>
        </is>
      </c>
      <c r="J10" s="15" t="inlineStr">
        <is>
          <t>Two channels are under consideration.</t>
        </is>
      </c>
      <c r="K10" s="15" t="inlineStr">
        <is>
          <t>Select the launch channel.</t>
        </is>
      </c>
      <c r="L10" s="15" t="inlineStr">
        <is>
          <t>announcement</t>
        </is>
      </c>
      <c r="M10" s="15" t="n">
        <v>5</v>
      </c>
    </row>
    <row r="11" ht="24" customHeight="1">
      <c r="A11" s="15" t="inlineStr">
        <is>
          <t>request-6</t>
        </is>
      </c>
      <c r="B11" s="15" t="inlineStr">
        <is>
          <t>Decision</t>
        </is>
      </c>
      <c r="C11" s="15" t="inlineStr">
        <is>
          <t>Confirm support escalation coverage</t>
        </is>
      </c>
      <c r="D11" s="15" t="inlineStr">
        <is>
          <t>In Progress</t>
        </is>
      </c>
      <c r="E11" s="15" t="inlineStr">
        <is>
          <t>Contoso Support Team</t>
        </is>
      </c>
      <c r="F11" s="15" t="inlineStr">
        <is>
          <t>Contoso Operations</t>
        </is>
      </c>
      <c r="G11" s="28" t="n">
        <v>46323</v>
      </c>
      <c r="H11" s="15" t="inlineStr">
        <is>
          <t>No</t>
        </is>
      </c>
      <c r="I11" s="15" t="inlineStr">
        <is>
          <t>Confirm launch-day support coverage</t>
        </is>
      </c>
      <c r="J11" s="15" t="inlineStr">
        <is>
          <t>Primary responders are identified.</t>
        </is>
      </c>
      <c r="K11" s="15" t="inlineStr">
        <is>
          <t>Publish the escalation roster.</t>
        </is>
      </c>
      <c r="L11" s="15" t="inlineStr">
        <is>
          <t>support-readiness</t>
        </is>
      </c>
      <c r="M11" s="15" t="n">
        <v>6</v>
      </c>
    </row>
    <row r="12" ht="15" customHeight="1">
      <c r="A12" s="15" t="inlineStr">
        <is>
          <t>request-7</t>
        </is>
      </c>
      <c r="B12" s="15" t="inlineStr">
        <is>
          <t>Action</t>
        </is>
      </c>
      <c r="C12" s="15" t="inlineStr">
        <is>
          <t>Schedule the post-GA review</t>
        </is>
      </c>
      <c r="D12" s="15" t="inlineStr">
        <is>
          <t>Not Started</t>
        </is>
      </c>
      <c r="E12" s="15" t="inlineStr">
        <is>
          <t>Contoso Program Team</t>
        </is>
      </c>
      <c r="F12" s="15" t="inlineStr">
        <is>
          <t>Contoso Product Team</t>
        </is>
      </c>
      <c r="G12" s="28" t="n">
        <v>46325</v>
      </c>
      <c r="H12" s="15" t="inlineStr">
        <is>
          <t>No</t>
        </is>
      </c>
      <c r="I12" s="15" t="inlineStr">
        <is>
          <t>Create the follow-up governance checkpoint</t>
        </is>
      </c>
      <c r="J12" s="15" t="inlineStr">
        <is>
          <t>The review window is reserved.</t>
        </is>
      </c>
      <c r="K12" s="15" t="inlineStr">
        <is>
          <t>Send the review invitation.</t>
        </is>
      </c>
      <c r="L12" s="15" t="inlineStr">
        <is>
          <t>post-ga-review</t>
        </is>
      </c>
      <c r="M12" s="15" t="n">
        <v>7</v>
      </c>
    </row>
  </sheetData>
  <mergeCells count="2">
    <mergeCell ref="A2:M2"/>
    <mergeCell ref="A1:M1"/>
  </mergeCells>
  <conditionalFormatting sqref="D6:D12">
    <cfRule type="containsText" priority="1" operator="containsText" dxfId="0" text="Complete"/>
    <cfRule type="containsText" priority="2" operator="containsText" dxfId="0" text="Ready"/>
    <cfRule type="containsText" priority="3" operator="containsText" dxfId="0" text="On Track"/>
    <cfRule type="containsText" priority="4" operator="containsText" dxfId="3" text="At Risk"/>
    <cfRule type="containsText" priority="5" operator="containsText" dxfId="3" text="Blocked"/>
    <cfRule type="containsText" priority="6" operator="containsText" dxfId="5" text="Update Required"/>
    <cfRule type="containsText" priority="7" operator="containsText" dxfId="6" text="Pending Review"/>
    <cfRule type="containsText" priority="8" operator="containsText" dxfId="7" text="In Progress"/>
    <cfRule type="containsText" priority="9" operator="containsText" dxfId="8" text="Not Started"/>
    <cfRule type="containsText" priority="10" operator="containsText" dxfId="8" text="Unknown"/>
  </conditionalFormatting>
  <dataValidations count="3">
    <dataValidation sqref="D6:D12" showDropDown="0" showInputMessage="0" showErrorMessage="0" allowBlank="0" type="list">
      <formula1>"Complete,Ready,On Track,At Risk,Blocked,Update Required,Pending Review,In Progress,Not Started,Unknown,N/A"</formula1>
    </dataValidation>
    <dataValidation sqref="B6:B12" showDropDown="0" showInputMessage="0" showErrorMessage="0" allowBlank="0" type="list">
      <formula1>"Decision,Support,Escalation,Commitment,Action"</formula1>
    </dataValidation>
    <dataValidation sqref="H6:H12" showDropDown="0" showInputMessage="0" showErrorMessage="0" allowBlank="0" type="list">
      <formula1>"Yes,No"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tabColor rgb="FF2563EB"/>
    <outlinePr summaryBelow="1" summaryRight="1"/>
    <pageSetUpPr/>
  </sheetPr>
  <dimension ref="A1:L11"/>
  <sheetViews>
    <sheetView showGridLines="0" workbookViewId="0">
      <pane ySplit="5" topLeftCell="A6" activePane="bottomLeft" state="frozen"/>
      <selection activeCell="A1" sqref="A1"/>
    </sheetView>
  </sheetViews>
  <sheetFormatPr baseColWidth="8" defaultRowHeight="15"/>
  <cols>
    <col width="15" customWidth="1" min="1" max="1"/>
    <col width="32" customWidth="1" min="2" max="2"/>
    <col width="20" customWidth="1" min="3" max="3"/>
    <col width="17" customWidth="1" min="4" max="4"/>
    <col width="20" customWidth="1" min="5" max="5"/>
    <col width="14" customWidth="1" min="6" max="6"/>
    <col width="44" customWidth="1" min="7" max="7"/>
    <col width="15" customWidth="1" min="8" max="8"/>
    <col width="13" customWidth="1" min="9" max="9"/>
    <col width="64" customWidth="1" min="10" max="10"/>
    <col width="58" customWidth="1" min="11" max="11"/>
    <col width="14" customWidth="1" min="12" max="12"/>
  </cols>
  <sheetData>
    <row r="1" ht="34" customHeight="1">
      <c r="A1" s="3" t="inlineStr">
        <is>
          <t>Product GA Readiness — Audience &amp; Client Adoption</t>
        </is>
      </c>
    </row>
    <row r="2" ht="32" customHeight="1">
      <c r="A2" s="7" t="inlineStr">
        <is>
          <t>Separate the primary product decision from adoption progress. A blocked adopter does not block product GA unless Blocks GA is explicitly set to Yes.</t>
        </is>
      </c>
    </row>
    <row r="3"/>
    <row r="4">
      <c r="A4" s="25" t="inlineStr">
        <is>
          <t>Tracked audiences</t>
        </is>
      </c>
      <c r="B4" s="26">
        <f>COUNTA(A6:A205)</f>
        <v/>
      </c>
      <c r="C4" s="21" t="inlineStr">
        <is>
          <t>Complete</t>
        </is>
      </c>
      <c r="D4" s="21">
        <f>COUNTIF(D6:D205,"Complete")</f>
        <v/>
      </c>
      <c r="E4" s="21" t="inlineStr">
        <is>
          <t>In progress / at risk</t>
        </is>
      </c>
      <c r="F4" s="21">
        <f>COUNTIF(D6:D205,"In Progress")+COUNTIF(D6:D205,"At Risk")+COUNTIF(D6:D205,"Blocked")</f>
        <v/>
      </c>
      <c r="G4" s="21" t="inlineStr">
        <is>
          <t>Refresh</t>
        </is>
      </c>
      <c r="H4" s="21" t="inlineStr">
        <is>
          <t>Daily</t>
        </is>
      </c>
    </row>
    <row r="5" ht="34" customHeight="1">
      <c r="A5" s="14" t="inlineStr">
        <is>
          <t>Audience ID</t>
        </is>
      </c>
      <c r="B5" s="14" t="inlineStr">
        <is>
          <t>Audience or Client</t>
        </is>
      </c>
      <c r="C5" s="14" t="inlineStr">
        <is>
          <t>Type</t>
        </is>
      </c>
      <c r="D5" s="14" t="inlineStr">
        <is>
          <t>Status</t>
        </is>
      </c>
      <c r="E5" s="14" t="inlineStr">
        <is>
          <t>Adoption Stage</t>
        </is>
      </c>
      <c r="F5" s="14" t="inlineStr">
        <is>
          <t>Progress %</t>
        </is>
      </c>
      <c r="G5" s="14" t="inlineStr">
        <is>
          <t>Owner</t>
        </is>
      </c>
      <c r="H5" s="14" t="inlineStr">
        <is>
          <t>Target Date</t>
        </is>
      </c>
      <c r="I5" s="14" t="inlineStr">
        <is>
          <t>Blocks GA</t>
        </is>
      </c>
      <c r="J5" s="14" t="inlineStr">
        <is>
          <t>Current Evidence</t>
        </is>
      </c>
      <c r="K5" s="14" t="inlineStr">
        <is>
          <t>Next Action</t>
        </is>
      </c>
      <c r="L5" s="14" t="inlineStr">
        <is>
          <t>Display Order</t>
        </is>
      </c>
    </row>
    <row r="6" ht="15" customHeight="1">
      <c r="A6" s="15" t="inlineStr">
        <is>
          <t>audience-1</t>
        </is>
      </c>
      <c r="B6" s="15" t="inlineStr">
        <is>
          <t>Contoso Finance</t>
        </is>
      </c>
      <c r="C6" s="15" t="inlineStr">
        <is>
          <t>Internal customer</t>
        </is>
      </c>
      <c r="D6" s="15" t="inlineStr">
        <is>
          <t>Complete</t>
        </is>
      </c>
      <c r="E6" s="15" t="inlineStr">
        <is>
          <t>Production validated</t>
        </is>
      </c>
      <c r="F6" s="29" t="n">
        <v>1</v>
      </c>
      <c r="G6" s="15" t="inlineStr">
        <is>
          <t>Contoso Customer Success</t>
        </is>
      </c>
      <c r="H6" s="28" t="n">
        <v>46313</v>
      </c>
      <c r="I6" s="15" t="inlineStr">
        <is>
          <t>No</t>
        </is>
      </c>
      <c r="J6" s="15" t="inlineStr">
        <is>
          <t>Production validation is complete.</t>
        </is>
      </c>
      <c r="K6" s="15" t="inlineStr">
        <is>
          <t>Monitor through GA.</t>
        </is>
      </c>
      <c r="L6" s="15" t="n">
        <v>1</v>
      </c>
    </row>
    <row r="7" ht="15" customHeight="1">
      <c r="A7" s="15" t="inlineStr">
        <is>
          <t>audience-2</t>
        </is>
      </c>
      <c r="B7" s="15" t="inlineStr">
        <is>
          <t>Contoso Commerce</t>
        </is>
      </c>
      <c r="C7" s="15" t="inlineStr">
        <is>
          <t>Internal customer</t>
        </is>
      </c>
      <c r="D7" s="15" t="inlineStr">
        <is>
          <t>On Track</t>
        </is>
      </c>
      <c r="E7" s="15" t="inlineStr">
        <is>
          <t>Pilot</t>
        </is>
      </c>
      <c r="F7" s="29" t="n">
        <v>0.8</v>
      </c>
      <c r="G7" s="15" t="inlineStr">
        <is>
          <t>Contoso Customer Success</t>
        </is>
      </c>
      <c r="H7" s="28" t="n">
        <v>46320</v>
      </c>
      <c r="I7" s="15" t="inlineStr">
        <is>
          <t>No</t>
        </is>
      </c>
      <c r="J7" s="15" t="inlineStr">
        <is>
          <t>Pilot traffic is healthy.</t>
        </is>
      </c>
      <c r="K7" s="15" t="inlineStr">
        <is>
          <t>Complete production sign-off.</t>
        </is>
      </c>
      <c r="L7" s="15" t="n">
        <v>2</v>
      </c>
    </row>
    <row r="8" ht="15" customHeight="1">
      <c r="A8" s="15" t="inlineStr">
        <is>
          <t>audience-3</t>
        </is>
      </c>
      <c r="B8" s="15" t="inlineStr">
        <is>
          <t>Contoso Analytics</t>
        </is>
      </c>
      <c r="C8" s="15" t="inlineStr">
        <is>
          <t>Internal customer</t>
        </is>
      </c>
      <c r="D8" s="15" t="inlineStr">
        <is>
          <t>In Progress</t>
        </is>
      </c>
      <c r="E8" s="15" t="inlineStr">
        <is>
          <t>Integration</t>
        </is>
      </c>
      <c r="F8" s="29" t="n">
        <v>0.6</v>
      </c>
      <c r="G8" s="15" t="inlineStr">
        <is>
          <t>Contoso Adoption Team</t>
        </is>
      </c>
      <c r="H8" s="28" t="n">
        <v>46325</v>
      </c>
      <c r="I8" s="15" t="inlineStr">
        <is>
          <t>No</t>
        </is>
      </c>
      <c r="J8" s="15" t="inlineStr">
        <is>
          <t>Integration tests are running.</t>
        </is>
      </c>
      <c r="K8" s="15" t="inlineStr">
        <is>
          <t>Close remaining test cases.</t>
        </is>
      </c>
      <c r="L8" s="15" t="n">
        <v>3</v>
      </c>
    </row>
    <row r="9" ht="15" customHeight="1">
      <c r="A9" s="15" t="inlineStr">
        <is>
          <t>audience-4</t>
        </is>
      </c>
      <c r="B9" s="15" t="inlineStr">
        <is>
          <t>Fabrikam Services</t>
        </is>
      </c>
      <c r="C9" s="15" t="inlineStr">
        <is>
          <t>Design partner</t>
        </is>
      </c>
      <c r="D9" s="15" t="inlineStr">
        <is>
          <t>At Risk</t>
        </is>
      </c>
      <c r="E9" s="15" t="inlineStr">
        <is>
          <t>Pilot</t>
        </is>
      </c>
      <c r="F9" s="29" t="n">
        <v>0.45</v>
      </c>
      <c r="G9" s="15" t="inlineStr">
        <is>
          <t>Contoso Partner Team</t>
        </is>
      </c>
      <c r="H9" s="28" t="n">
        <v>46332</v>
      </c>
      <c r="I9" s="15" t="inlineStr">
        <is>
          <t>No</t>
        </is>
      </c>
      <c r="J9" s="15" t="inlineStr">
        <is>
          <t>A compatibility issue remains open.</t>
        </is>
      </c>
      <c r="K9" s="15" t="inlineStr">
        <is>
          <t>Resolve the compatibility issue.</t>
        </is>
      </c>
      <c r="L9" s="15" t="n">
        <v>4</v>
      </c>
    </row>
    <row r="10" ht="24" customHeight="1">
      <c r="A10" s="15" t="inlineStr">
        <is>
          <t>audience-5</t>
        </is>
      </c>
      <c r="B10" s="15" t="inlineStr">
        <is>
          <t>Northwind Platform</t>
        </is>
      </c>
      <c r="C10" s="15" t="inlineStr">
        <is>
          <t>Design partner</t>
        </is>
      </c>
      <c r="D10" s="15" t="inlineStr">
        <is>
          <t>Blocked</t>
        </is>
      </c>
      <c r="E10" s="15" t="inlineStr">
        <is>
          <t>Planning</t>
        </is>
      </c>
      <c r="F10" s="29" t="n">
        <v>0.2</v>
      </c>
      <c r="G10" s="15" t="inlineStr">
        <is>
          <t>Contoso Partner Team</t>
        </is>
      </c>
      <c r="H10" s="28" t="n">
        <v>46339</v>
      </c>
      <c r="I10" s="15" t="inlineStr">
        <is>
          <t>No</t>
        </is>
      </c>
      <c r="J10" s="15" t="inlineStr">
        <is>
          <t>The partner depends on secure runtime certification.</t>
        </is>
      </c>
      <c r="K10" s="15" t="inlineStr">
        <is>
          <t>Resume after certification completes.</t>
        </is>
      </c>
      <c r="L10" s="15" t="n">
        <v>5</v>
      </c>
    </row>
    <row r="11" ht="15" customHeight="1">
      <c r="A11" s="15" t="inlineStr">
        <is>
          <t>audience-6</t>
        </is>
      </c>
      <c r="B11" s="15" t="inlineStr">
        <is>
          <t>Public developer audience</t>
        </is>
      </c>
      <c r="C11" s="15" t="inlineStr">
        <is>
          <t>External audience</t>
        </is>
      </c>
      <c r="D11" s="15" t="inlineStr">
        <is>
          <t>Not Started</t>
        </is>
      </c>
      <c r="E11" s="15" t="inlineStr">
        <is>
          <t>Announcement</t>
        </is>
      </c>
      <c r="F11" s="29" t="n">
        <v>0</v>
      </c>
      <c r="G11" s="15" t="inlineStr">
        <is>
          <t>Contoso Communications</t>
        </is>
      </c>
      <c r="H11" s="28" t="n">
        <v>46325</v>
      </c>
      <c r="I11" s="15" t="inlineStr">
        <is>
          <t>No</t>
        </is>
      </c>
      <c r="J11" s="15" t="inlineStr">
        <is>
          <t>Publication is scheduled for GA day.</t>
        </is>
      </c>
      <c r="K11" s="15" t="inlineStr">
        <is>
          <t>Finalize the announcement package.</t>
        </is>
      </c>
      <c r="L11" s="15" t="n">
        <v>6</v>
      </c>
    </row>
  </sheetData>
  <mergeCells count="2">
    <mergeCell ref="A2:L2"/>
    <mergeCell ref="A1:L1"/>
  </mergeCells>
  <conditionalFormatting sqref="D6:D11">
    <cfRule type="containsText" priority="1" operator="containsText" dxfId="0" text="Complete"/>
    <cfRule type="containsText" priority="2" operator="containsText" dxfId="0" text="Ready"/>
    <cfRule type="containsText" priority="3" operator="containsText" dxfId="0" text="On Track"/>
    <cfRule type="containsText" priority="4" operator="containsText" dxfId="3" text="At Risk"/>
    <cfRule type="containsText" priority="5" operator="containsText" dxfId="3" text="Blocked"/>
    <cfRule type="containsText" priority="6" operator="containsText" dxfId="5" text="Update Required"/>
    <cfRule type="containsText" priority="7" operator="containsText" dxfId="6" text="Pending Review"/>
    <cfRule type="containsText" priority="8" operator="containsText" dxfId="7" text="In Progress"/>
    <cfRule type="containsText" priority="9" operator="containsText" dxfId="8" text="Not Started"/>
    <cfRule type="containsText" priority="10" operator="containsText" dxfId="8" text="Unknown"/>
  </conditionalFormatting>
  <dataValidations count="4">
    <dataValidation sqref="D6:D11" showDropDown="0" showInputMessage="0" showErrorMessage="0" allowBlank="0" type="list">
      <formula1>"Complete,Ready,On Track,At Risk,Blocked,Update Required,Pending Review,In Progress,Not Started,Unknown,N/A"</formula1>
    </dataValidation>
    <dataValidation sqref="C6:C11" showDropDown="0" showInputMessage="0" showErrorMessage="0" allowBlank="0" type="list">
      <formula1>"Target Audience,Partner,Client"</formula1>
    </dataValidation>
    <dataValidation sqref="F6:F11" showDropDown="0" showInputMessage="0" showErrorMessage="0" allowBlank="0" type="decimal" operator="between">
      <formula1>0</formula1>
      <formula2>100</formula2>
    </dataValidation>
    <dataValidation sqref="I6:I11" showDropDown="0" showInputMessage="0" showErrorMessage="0" allowBlank="0" type="list">
      <formula1>"Yes,No"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tabColor rgb="FF2563EB"/>
    <outlinePr summaryBelow="1" summaryRight="1"/>
    <pageSetUpPr/>
  </sheetPr>
  <dimension ref="A1:Q15"/>
  <sheetViews>
    <sheetView showGridLines="0" workbookViewId="0">
      <pane ySplit="5" topLeftCell="A6" activePane="bottomLeft" state="frozen"/>
      <selection activeCell="A1" sqref="A1"/>
    </sheetView>
  </sheetViews>
  <sheetFormatPr baseColWidth="8" defaultRowHeight="15"/>
  <cols>
    <col width="15" customWidth="1" min="1" max="1"/>
    <col width="24" customWidth="1" min="2" max="2"/>
    <col width="28" customWidth="1" min="3" max="3"/>
    <col width="34" customWidth="1" min="4" max="4"/>
    <col width="17" customWidth="1" min="5" max="5"/>
    <col width="13" customWidth="1" min="6" max="6"/>
    <col width="42" customWidth="1" min="7" max="7"/>
    <col width="32" customWidth="1" min="8" max="8"/>
    <col width="15" customWidth="1" min="9" max="9"/>
    <col width="13" customWidth="1" min="10" max="10"/>
    <col width="26" customWidth="1" min="11" max="11"/>
    <col width="66" customWidth="1" min="12" max="12"/>
    <col width="62" customWidth="1" min="13" max="13"/>
    <col width="18" customWidth="1" min="14" max="14"/>
    <col width="22" customWidth="1" min="15" max="15"/>
    <col width="38" customWidth="1" min="16" max="16"/>
    <col width="14" customWidth="1" min="17" max="17"/>
  </cols>
  <sheetData>
    <row r="1" ht="34" customHeight="1">
      <c r="A1" s="3" t="inlineStr">
        <is>
          <t>Product GA Readiness — Detailed Records</t>
        </is>
      </c>
    </row>
    <row r="2" ht="32" customHeight="1">
      <c r="A2" s="7" t="inlineStr">
        <is>
          <t>This is the authoritative drill-down: every row must show an owner, status, GA impact, evidence, and next action.</t>
        </is>
      </c>
    </row>
    <row r="3"/>
    <row r="4">
      <c r="A4" s="25" t="inlineStr">
        <is>
          <t>Total records</t>
        </is>
      </c>
      <c r="B4" s="26">
        <f>COUNTA(A6:A205)</f>
        <v/>
      </c>
      <c r="C4" s="21" t="inlineStr">
        <is>
          <t>Confirmed blockers</t>
        </is>
      </c>
      <c r="D4" s="21">
        <f>COUNTIF(J6:J205,"Yes")</f>
        <v/>
      </c>
      <c r="E4" s="21" t="inlineStr">
        <is>
          <t>Missing owners</t>
        </is>
      </c>
      <c r="F4" s="21">
        <f>COUNTIF(G6:G205,"Unassigned")</f>
        <v/>
      </c>
      <c r="G4" s="21" t="inlineStr">
        <is>
          <t>Refresh</t>
        </is>
      </c>
      <c r="H4" s="21" t="inlineStr">
        <is>
          <t>Daily</t>
        </is>
      </c>
    </row>
    <row r="5" ht="34" customHeight="1">
      <c r="A5" s="14" t="inlineStr">
        <is>
          <t>Record ID</t>
        </is>
      </c>
      <c r="B5" s="14" t="inlineStr">
        <is>
          <t>Workstream ID</t>
        </is>
      </c>
      <c r="C5" s="14" t="inlineStr">
        <is>
          <t>Workstream</t>
        </is>
      </c>
      <c r="D5" s="14" t="inlineStr">
        <is>
          <t>Item</t>
        </is>
      </c>
      <c r="E5" s="14" t="inlineStr">
        <is>
          <t>Status</t>
        </is>
      </c>
      <c r="F5" s="14" t="inlineStr">
        <is>
          <t>Priority</t>
        </is>
      </c>
      <c r="G5" s="14" t="inlineStr">
        <is>
          <t>Owner</t>
        </is>
      </c>
      <c r="H5" s="14" t="inlineStr">
        <is>
          <t>Accountable Owner</t>
        </is>
      </c>
      <c r="I5" s="14" t="inlineStr">
        <is>
          <t>Target Date</t>
        </is>
      </c>
      <c r="J5" s="14" t="inlineStr">
        <is>
          <t>Blocks GA</t>
        </is>
      </c>
      <c r="K5" s="14" t="inlineStr">
        <is>
          <t>GA Impact</t>
        </is>
      </c>
      <c r="L5" s="14" t="inlineStr">
        <is>
          <t>Current State or Evidence</t>
        </is>
      </c>
      <c r="M5" s="14" t="inlineStr">
        <is>
          <t>Next Action</t>
        </is>
      </c>
      <c r="N5" s="14" t="inlineStr">
        <is>
          <t>Evidence State</t>
        </is>
      </c>
      <c r="O5" s="14" t="inlineStr">
        <is>
          <t>Release Scope</t>
        </is>
      </c>
      <c r="P5" s="14" t="inlineStr">
        <is>
          <t>Source Reference</t>
        </is>
      </c>
      <c r="Q5" s="14" t="inlineStr">
        <is>
          <t>Display Order</t>
        </is>
      </c>
    </row>
    <row r="6" ht="15" customHeight="1">
      <c r="A6" s="15" t="inlineStr">
        <is>
          <t>record-1</t>
        </is>
      </c>
      <c r="B6" s="15" t="inlineStr">
        <is>
          <t>primary-release-path</t>
        </is>
      </c>
      <c r="C6" s="15" t="inlineStr">
        <is>
          <t>Product engineering</t>
        </is>
      </c>
      <c r="D6" s="15" t="inlineStr">
        <is>
          <t>Core dependency</t>
        </is>
      </c>
      <c r="E6" s="15" t="inlineStr">
        <is>
          <t>Complete</t>
        </is>
      </c>
      <c r="F6" s="15" t="inlineStr">
        <is>
          <t>High</t>
        </is>
      </c>
      <c r="G6" s="15" t="inlineStr">
        <is>
          <t>Contoso Identity Team</t>
        </is>
      </c>
      <c r="H6" s="15" t="inlineStr">
        <is>
          <t>Contoso Engineering Leadership</t>
        </is>
      </c>
      <c r="I6" s="28" t="n">
        <v>46310</v>
      </c>
      <c r="J6" s="15" t="inlineStr">
        <is>
          <t>No</t>
        </is>
      </c>
      <c r="K6" s="15" t="inlineStr">
        <is>
          <t>Released dependency</t>
        </is>
      </c>
      <c r="L6" s="15" t="inlineStr">
        <is>
          <t>The dependency package is available for product consumption.</t>
        </is>
      </c>
      <c r="M6" s="15" t="inlineStr">
        <is>
          <t>Maintain release availability.</t>
        </is>
      </c>
      <c r="N6" s="15" t="inlineStr">
        <is>
          <t>Verified</t>
        </is>
      </c>
      <c r="O6" s="15" t="inlineStr">
        <is>
          <t>Current GA</t>
        </is>
      </c>
      <c r="P6" s="15" t="inlineStr">
        <is>
          <t>Release record</t>
        </is>
      </c>
      <c r="Q6" s="15" t="n">
        <v>1</v>
      </c>
    </row>
    <row r="7" ht="15" customHeight="1">
      <c r="A7" s="15" t="inlineStr">
        <is>
          <t>record-2</t>
        </is>
      </c>
      <c r="B7" s="15" t="inlineStr">
        <is>
          <t>primary-release-path</t>
        </is>
      </c>
      <c r="C7" s="15" t="inlineStr">
        <is>
          <t>Product engineering</t>
        </is>
      </c>
      <c r="D7" s="15" t="inlineStr">
        <is>
          <t>SDK integration</t>
        </is>
      </c>
      <c r="E7" s="15" t="inlineStr">
        <is>
          <t>On Track</t>
        </is>
      </c>
      <c r="F7" s="15" t="inlineStr">
        <is>
          <t>High</t>
        </is>
      </c>
      <c r="G7" s="15" t="inlineStr">
        <is>
          <t>Contoso SDK Team</t>
        </is>
      </c>
      <c r="H7" s="15" t="inlineStr">
        <is>
          <t>Contoso Product Leadership</t>
        </is>
      </c>
      <c r="I7" s="28" t="n">
        <v>46319</v>
      </c>
      <c r="J7" s="15" t="inlineStr">
        <is>
          <t>No</t>
        </is>
      </c>
      <c r="K7" s="15" t="inlineStr">
        <is>
          <t>Supports primary GA</t>
        </is>
      </c>
      <c r="L7" s="15" t="inlineStr">
        <is>
          <t>Integration tests are passing.</t>
        </is>
      </c>
      <c r="M7" s="15" t="inlineStr">
        <is>
          <t>Complete release sign-off.</t>
        </is>
      </c>
      <c r="N7" s="15" t="inlineStr">
        <is>
          <t>Partial</t>
        </is>
      </c>
      <c r="O7" s="15" t="inlineStr">
        <is>
          <t>Current GA</t>
        </is>
      </c>
      <c r="P7" s="15" t="inlineStr">
        <is>
          <t>Integration review</t>
        </is>
      </c>
      <c r="Q7" s="15" t="n">
        <v>2</v>
      </c>
    </row>
    <row r="8" ht="15" customHeight="1">
      <c r="A8" s="15" t="inlineStr">
        <is>
          <t>record-3</t>
        </is>
      </c>
      <c r="B8" s="15" t="inlineStr">
        <is>
          <t>primary-release-path</t>
        </is>
      </c>
      <c r="C8" s="15" t="inlineStr">
        <is>
          <t>Product engineering</t>
        </is>
      </c>
      <c r="D8" s="15" t="inlineStr">
        <is>
          <t>Contoso Secure SDK</t>
        </is>
      </c>
      <c r="E8" s="15" t="inlineStr">
        <is>
          <t>On Track</t>
        </is>
      </c>
      <c r="F8" s="15" t="inlineStr">
        <is>
          <t>Critical</t>
        </is>
      </c>
      <c r="G8" s="15" t="inlineStr">
        <is>
          <t>Contoso Product Team</t>
        </is>
      </c>
      <c r="H8" s="15" t="inlineStr">
        <is>
          <t>Contoso Product Leadership</t>
        </is>
      </c>
      <c r="I8" s="28" t="n">
        <v>46325</v>
      </c>
      <c r="J8" s="15" t="inlineStr">
        <is>
          <t>No</t>
        </is>
      </c>
      <c r="K8" s="15" t="inlineStr">
        <is>
          <t>Primary GA target</t>
        </is>
      </c>
      <c r="L8" s="15" t="inlineStr">
        <is>
          <t>Packaging and validation remain on track.</t>
        </is>
      </c>
      <c r="M8" s="15" t="inlineStr">
        <is>
          <t>Publish the GA package after approval.</t>
        </is>
      </c>
      <c r="N8" s="15" t="inlineStr">
        <is>
          <t>Partial</t>
        </is>
      </c>
      <c r="O8" s="15" t="inlineStr">
        <is>
          <t>Current GA</t>
        </is>
      </c>
      <c r="P8" s="15" t="inlineStr">
        <is>
          <t>GA review</t>
        </is>
      </c>
      <c r="Q8" s="15" t="n">
        <v>3</v>
      </c>
    </row>
    <row r="9" ht="15" customHeight="1">
      <c r="A9" s="15" t="inlineStr">
        <is>
          <t>record-4</t>
        </is>
      </c>
      <c r="B9" s="15" t="inlineStr">
        <is>
          <t>product-context</t>
        </is>
      </c>
      <c r="C9" s="15" t="inlineStr">
        <is>
          <t>Product context</t>
        </is>
      </c>
      <c r="D9" s="15" t="inlineStr">
        <is>
          <t>Contoso Policy Library</t>
        </is>
      </c>
      <c r="E9" s="15" t="inlineStr">
        <is>
          <t>Complete</t>
        </is>
      </c>
      <c r="F9" s="15" t="inlineStr">
        <is>
          <t>Medium</t>
        </is>
      </c>
      <c r="G9" s="15" t="inlineStr">
        <is>
          <t>Contoso Policy Team</t>
        </is>
      </c>
      <c r="H9" s="15" t="inlineStr">
        <is>
          <t>Contoso Engineering Leadership</t>
        </is>
      </c>
      <c r="I9" s="28" t="n">
        <v>46310</v>
      </c>
      <c r="J9" s="15" t="inlineStr">
        <is>
          <t>No</t>
        </is>
      </c>
      <c r="K9" s="15" t="inlineStr">
        <is>
          <t>Supporting component</t>
        </is>
      </c>
      <c r="L9" s="15" t="inlineStr">
        <is>
          <t>The supporting library is released.</t>
        </is>
      </c>
      <c r="M9" s="15" t="inlineStr">
        <is>
          <t>Maintain compatibility.</t>
        </is>
      </c>
      <c r="N9" s="15" t="inlineStr">
        <is>
          <t>Verified</t>
        </is>
      </c>
      <c r="O9" s="15" t="inlineStr">
        <is>
          <t>Current GA</t>
        </is>
      </c>
      <c r="P9" s="15" t="inlineStr">
        <is>
          <t>Release record</t>
        </is>
      </c>
      <c r="Q9" s="15" t="n">
        <v>1</v>
      </c>
    </row>
    <row r="10" ht="15" customHeight="1">
      <c r="A10" s="15" t="inlineStr">
        <is>
          <t>record-5</t>
        </is>
      </c>
      <c r="B10" s="15" t="inlineStr">
        <is>
          <t>platform-readiness</t>
        </is>
      </c>
      <c r="C10" s="15" t="inlineStr">
        <is>
          <t>Platform readiness</t>
        </is>
      </c>
      <c r="D10" s="15" t="inlineStr">
        <is>
          <t>Standard runtime</t>
        </is>
      </c>
      <c r="E10" s="15" t="inlineStr">
        <is>
          <t>Ready</t>
        </is>
      </c>
      <c r="F10" s="15" t="inlineStr">
        <is>
          <t>High</t>
        </is>
      </c>
      <c r="G10" s="15" t="inlineStr">
        <is>
          <t>Contoso Platform Team</t>
        </is>
      </c>
      <c r="H10" s="15" t="inlineStr">
        <is>
          <t>Contoso Platform Leadership</t>
        </is>
      </c>
      <c r="I10" s="28" t="n">
        <v>46325</v>
      </c>
      <c r="J10" s="15" t="inlineStr">
        <is>
          <t>No</t>
        </is>
      </c>
      <c r="K10" s="15" t="inlineStr">
        <is>
          <t>Supported platform ready</t>
        </is>
      </c>
      <c r="L10" s="15" t="inlineStr">
        <is>
          <t>Validation is complete on the standard runtime.</t>
        </is>
      </c>
      <c r="M10" s="15" t="inlineStr">
        <is>
          <t>Maintain readiness through GA.</t>
        </is>
      </c>
      <c r="N10" s="15" t="inlineStr">
        <is>
          <t>Verified</t>
        </is>
      </c>
      <c r="O10" s="15" t="inlineStr">
        <is>
          <t>Current GA</t>
        </is>
      </c>
      <c r="P10" s="15" t="inlineStr">
        <is>
          <t>Certification report</t>
        </is>
      </c>
      <c r="Q10" s="15" t="n">
        <v>1</v>
      </c>
    </row>
    <row r="11" ht="24" customHeight="1">
      <c r="A11" s="15" t="inlineStr">
        <is>
          <t>record-6</t>
        </is>
      </c>
      <c r="B11" s="15" t="inlineStr">
        <is>
          <t>platform-readiness</t>
        </is>
      </c>
      <c r="C11" s="15" t="inlineStr">
        <is>
          <t>Platform readiness</t>
        </is>
      </c>
      <c r="D11" s="15" t="inlineStr">
        <is>
          <t>Secure runtime</t>
        </is>
      </c>
      <c r="E11" s="15" t="inlineStr">
        <is>
          <t>Blocked</t>
        </is>
      </c>
      <c r="F11" s="15" t="inlineStr">
        <is>
          <t>Critical</t>
        </is>
      </c>
      <c r="G11" s="15" t="inlineStr">
        <is>
          <t>Contoso Platform Team</t>
        </is>
      </c>
      <c r="H11" s="15" t="inlineStr">
        <is>
          <t>Contoso Platform Leadership</t>
        </is>
      </c>
      <c r="I11" s="28" t="n">
        <v>46322</v>
      </c>
      <c r="J11" s="15" t="inlineStr">
        <is>
          <t>Yes</t>
        </is>
      </c>
      <c r="K11" s="15" t="inlineStr">
        <is>
          <t>Confirmed GA blocker</t>
        </is>
      </c>
      <c r="L11" s="15" t="inlineStr">
        <is>
          <t>The final certification suite has not completed.</t>
        </is>
      </c>
      <c r="M11" s="15" t="inlineStr">
        <is>
          <t>Complete certification and publish evidence.</t>
        </is>
      </c>
      <c r="N11" s="15" t="inlineStr">
        <is>
          <t>Partial</t>
        </is>
      </c>
      <c r="O11" s="15" t="inlineStr">
        <is>
          <t>Current GA</t>
        </is>
      </c>
      <c r="P11" s="15" t="inlineStr">
        <is>
          <t>Certification tracker</t>
        </is>
      </c>
      <c r="Q11" s="15" t="n">
        <v>2</v>
      </c>
    </row>
    <row r="12" ht="24" customHeight="1">
      <c r="A12" s="15" t="inlineStr">
        <is>
          <t>record-7</t>
        </is>
      </c>
      <c r="B12" s="15" t="inlineStr">
        <is>
          <t>service-readiness</t>
        </is>
      </c>
      <c r="C12" s="15" t="inlineStr">
        <is>
          <t>Dependent service readiness</t>
        </is>
      </c>
      <c r="D12" s="15" t="inlineStr">
        <is>
          <t>Production deployment service</t>
        </is>
      </c>
      <c r="E12" s="15" t="inlineStr">
        <is>
          <t>At Risk</t>
        </is>
      </c>
      <c r="F12" s="15" t="inlineStr">
        <is>
          <t>Critical</t>
        </is>
      </c>
      <c r="G12" s="15" t="inlineStr">
        <is>
          <t>Contoso Service Team</t>
        </is>
      </c>
      <c r="H12" s="15" t="inlineStr">
        <is>
          <t>Contoso Operations Leadership</t>
        </is>
      </c>
      <c r="I12" s="28" t="n">
        <v>46323</v>
      </c>
      <c r="J12" s="15" t="inlineStr">
        <is>
          <t>Yes</t>
        </is>
      </c>
      <c r="K12" s="15" t="inlineStr">
        <is>
          <t>Confirmed GA blocker</t>
        </is>
      </c>
      <c r="L12" s="15" t="inlineStr">
        <is>
          <t>Canary validation passed; production rollout is pending.</t>
        </is>
      </c>
      <c r="M12" s="15" t="inlineStr">
        <is>
          <t>Deploy globally and validate telemetry.</t>
        </is>
      </c>
      <c r="N12" s="15" t="inlineStr">
        <is>
          <t>Submitted</t>
        </is>
      </c>
      <c r="O12" s="15" t="inlineStr">
        <is>
          <t>Current GA</t>
        </is>
      </c>
      <c r="P12" s="15" t="inlineStr">
        <is>
          <t>Deployment dashboard</t>
        </is>
      </c>
      <c r="Q12" s="15" t="n">
        <v>1</v>
      </c>
    </row>
    <row r="13" ht="15" customHeight="1">
      <c r="A13" s="15" t="inlineStr">
        <is>
          <t>record-8</t>
        </is>
      </c>
      <c r="B13" s="15" t="inlineStr">
        <is>
          <t>launch-readiness</t>
        </is>
      </c>
      <c r="C13" s="15" t="inlineStr">
        <is>
          <t>Launch readiness</t>
        </is>
      </c>
      <c r="D13" s="15" t="inlineStr">
        <is>
          <t>GA documentation</t>
        </is>
      </c>
      <c r="E13" s="15" t="inlineStr">
        <is>
          <t>Update Required</t>
        </is>
      </c>
      <c r="F13" s="15" t="inlineStr">
        <is>
          <t>High</t>
        </is>
      </c>
      <c r="G13" s="15" t="inlineStr">
        <is>
          <t>Contoso Content Team</t>
        </is>
      </c>
      <c r="H13" s="15" t="inlineStr">
        <is>
          <t>Contoso Product Leadership</t>
        </is>
      </c>
      <c r="I13" s="28" t="n">
        <v>46324</v>
      </c>
      <c r="J13" s="15" t="inlineStr">
        <is>
          <t>No</t>
        </is>
      </c>
      <c r="K13" s="15" t="inlineStr">
        <is>
          <t>Launch readiness gap</t>
        </is>
      </c>
      <c r="L13" s="15" t="inlineStr">
        <is>
          <t>Final approval and publication evidence are missing.</t>
        </is>
      </c>
      <c r="M13" s="15" t="inlineStr">
        <is>
          <t>Obtain approval and publish.</t>
        </is>
      </c>
      <c r="N13" s="15" t="inlineStr">
        <is>
          <t>Partial</t>
        </is>
      </c>
      <c r="O13" s="15" t="inlineStr">
        <is>
          <t>Current GA</t>
        </is>
      </c>
      <c r="P13" s="15" t="inlineStr">
        <is>
          <t>Documentation review</t>
        </is>
      </c>
      <c r="Q13" s="15" t="n">
        <v>1</v>
      </c>
    </row>
    <row r="14" ht="15" customHeight="1">
      <c r="A14" s="15" t="inlineStr">
        <is>
          <t>record-9</t>
        </is>
      </c>
      <c r="B14" s="15" t="inlineStr">
        <is>
          <t>launch-readiness</t>
        </is>
      </c>
      <c r="C14" s="15" t="inlineStr">
        <is>
          <t>Launch readiness</t>
        </is>
      </c>
      <c r="D14" s="15" t="inlineStr">
        <is>
          <t>Release notes</t>
        </is>
      </c>
      <c r="E14" s="15" t="inlineStr">
        <is>
          <t>Update Required</t>
        </is>
      </c>
      <c r="F14" s="15" t="inlineStr">
        <is>
          <t>High</t>
        </is>
      </c>
      <c r="G14" s="15" t="inlineStr">
        <is>
          <t>Contoso Release Team</t>
        </is>
      </c>
      <c r="H14" s="15" t="inlineStr">
        <is>
          <t>Contoso Engineering Leadership</t>
        </is>
      </c>
      <c r="I14" s="28" t="n">
        <v>46324</v>
      </c>
      <c r="J14" s="15" t="inlineStr">
        <is>
          <t>No</t>
        </is>
      </c>
      <c r="K14" s="15" t="inlineStr">
        <is>
          <t>Launch readiness gap</t>
        </is>
      </c>
      <c r="L14" s="15" t="inlineStr">
        <is>
          <t>Engineering approval is pending.</t>
        </is>
      </c>
      <c r="M14" s="15" t="inlineStr">
        <is>
          <t>Complete approval and publish.</t>
        </is>
      </c>
      <c r="N14" s="15" t="inlineStr">
        <is>
          <t>Partial</t>
        </is>
      </c>
      <c r="O14" s="15" t="inlineStr">
        <is>
          <t>Current GA</t>
        </is>
      </c>
      <c r="P14" s="15" t="inlineStr">
        <is>
          <t>Release review</t>
        </is>
      </c>
      <c r="Q14" s="15" t="n">
        <v>2</v>
      </c>
    </row>
    <row r="15" ht="15" customHeight="1">
      <c r="A15" s="15" t="inlineStr">
        <is>
          <t>record-10</t>
        </is>
      </c>
      <c r="B15" s="15" t="inlineStr">
        <is>
          <t>launch-readiness</t>
        </is>
      </c>
      <c r="C15" s="15" t="inlineStr">
        <is>
          <t>Launch readiness</t>
        </is>
      </c>
      <c r="D15" s="15" t="inlineStr">
        <is>
          <t>Launch announcement</t>
        </is>
      </c>
      <c r="E15" s="15" t="inlineStr">
        <is>
          <t>In Progress</t>
        </is>
      </c>
      <c r="F15" s="15" t="inlineStr">
        <is>
          <t>Medium</t>
        </is>
      </c>
      <c r="G15" s="15" t="inlineStr">
        <is>
          <t>Contoso Communications</t>
        </is>
      </c>
      <c r="H15" s="15" t="inlineStr">
        <is>
          <t>Contoso Product Leadership</t>
        </is>
      </c>
      <c r="I15" s="28" t="n">
        <v>46325</v>
      </c>
      <c r="J15" s="15" t="inlineStr">
        <is>
          <t>No</t>
        </is>
      </c>
      <c r="K15" s="15" t="inlineStr">
        <is>
          <t>Launch readiness gap</t>
        </is>
      </c>
      <c r="L15" s="15" t="inlineStr">
        <is>
          <t>Draft messaging and a channel plan exist.</t>
        </is>
      </c>
      <c r="M15" s="15" t="inlineStr">
        <is>
          <t>Confirm approvers and publication time.</t>
        </is>
      </c>
      <c r="N15" s="15" t="inlineStr">
        <is>
          <t>Partial</t>
        </is>
      </c>
      <c r="O15" s="15" t="inlineStr">
        <is>
          <t>Current GA</t>
        </is>
      </c>
      <c r="P15" s="15" t="inlineStr">
        <is>
          <t>Launch plan</t>
        </is>
      </c>
      <c r="Q15" s="15" t="n">
        <v>3</v>
      </c>
    </row>
  </sheetData>
  <mergeCells count="2">
    <mergeCell ref="A2:Q2"/>
    <mergeCell ref="A1:Q1"/>
  </mergeCells>
  <conditionalFormatting sqref="E6:E15">
    <cfRule type="containsText" priority="1" operator="containsText" dxfId="0" text="Complete"/>
    <cfRule type="containsText" priority="2" operator="containsText" dxfId="0" text="Ready"/>
    <cfRule type="containsText" priority="3" operator="containsText" dxfId="0" text="On Track"/>
    <cfRule type="containsText" priority="4" operator="containsText" dxfId="3" text="At Risk"/>
    <cfRule type="containsText" priority="5" operator="containsText" dxfId="3" text="Blocked"/>
    <cfRule type="containsText" priority="6" operator="containsText" dxfId="5" text="Update Required"/>
    <cfRule type="containsText" priority="7" operator="containsText" dxfId="6" text="Pending Review"/>
    <cfRule type="containsText" priority="8" operator="containsText" dxfId="7" text="In Progress"/>
    <cfRule type="containsText" priority="9" operator="containsText" dxfId="8" text="Not Started"/>
    <cfRule type="containsText" priority="10" operator="containsText" dxfId="8" text="Unknown"/>
  </conditionalFormatting>
  <dataValidations count="4">
    <dataValidation sqref="E6:E15" showDropDown="0" showInputMessage="0" showErrorMessage="0" allowBlank="0" type="list">
      <formula1>"Complete,Ready,On Track,At Risk,Blocked,Update Required,Pending Review,In Progress,Not Started,Unknown,N/A"</formula1>
    </dataValidation>
    <dataValidation sqref="F6:F15" showDropDown="0" showInputMessage="0" showErrorMessage="0" allowBlank="0" type="list">
      <formula1>"Critical,High,Medium,Low,Unknown"</formula1>
    </dataValidation>
    <dataValidation sqref="J6:J15" showDropDown="0" showInputMessage="0" showErrorMessage="0" allowBlank="0" type="list">
      <formula1>"Yes,No"</formula1>
    </dataValidation>
    <dataValidation sqref="N6:N15" showDropDown="0" showInputMessage="0" showErrorMessage="0" allowBlank="0" type="list">
      <formula1>"Not Required,Missing,Partial,Submitted,Verified,Rejected,Unknown"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tabColor rgb="FF2563EB"/>
    <outlinePr summaryBelow="1" summaryRight="1"/>
    <pageSetUpPr/>
  </sheetPr>
  <dimension ref="A1:G15"/>
  <sheetViews>
    <sheetView showGridLines="0" workbookViewId="0">
      <pane ySplit="4" topLeftCell="A5" activePane="bottomLeft" state="frozen"/>
      <selection activeCell="A1" sqref="A1"/>
    </sheetView>
  </sheetViews>
  <sheetFormatPr baseColWidth="8" defaultRowHeight="15"/>
  <cols>
    <col width="24" customWidth="1" min="1" max="1"/>
    <col width="24" customWidth="1" min="2" max="2"/>
    <col width="60" customWidth="1" min="3" max="3"/>
  </cols>
  <sheetData>
    <row r="1" ht="34" customHeight="1">
      <c r="A1" s="3" t="inlineStr">
        <is>
          <t>Product GA Readiness — Authoring Guide</t>
        </is>
      </c>
    </row>
    <row r="2" ht="32" customHeight="1">
      <c r="A2" s="7" t="inlineStr">
        <is>
          <t>Use this workbook as the source contract paired with the microsoft/product-ga-readiness ReportKit template.</t>
        </is>
      </c>
    </row>
    <row r="3"/>
    <row r="4" ht="34" customHeight="1">
      <c r="A4" s="14" t="inlineStr">
        <is>
          <t>Step</t>
        </is>
      </c>
      <c r="B4" s="14" t="inlineStr">
        <is>
          <t>Where</t>
        </is>
      </c>
      <c r="C4" s="14" t="inlineStr">
        <is>
          <t>Rule</t>
        </is>
      </c>
      <c r="E4" t="inlineStr">
        <is>
          <t>Excel Status</t>
        </is>
      </c>
      <c r="F4" t="inlineStr">
        <is>
          <t>Canonical Status</t>
        </is>
      </c>
      <c r="G4" t="inlineStr">
        <is>
          <t>Meaning</t>
        </is>
      </c>
    </row>
    <row r="5" ht="24" customHeight="1">
      <c r="A5" s="15" t="inlineStr">
        <is>
          <t>1. Set report identity</t>
        </is>
      </c>
      <c r="B5" s="15" t="inlineStr">
        <is>
          <t>Report Setup</t>
        </is>
      </c>
      <c r="C5" s="15" t="inlineStr">
        <is>
          <t>Update every project-specific value. The HTML title, subtitle, target, dates, classification, decision text, and cadence come from this table.</t>
        </is>
      </c>
      <c r="E5" t="inlineStr">
        <is>
          <t>Complete / Ready</t>
        </is>
      </c>
      <c r="F5" t="inlineStr">
        <is>
          <t>healthy</t>
        </is>
      </c>
      <c r="G5" t="inlineStr">
        <is>
          <t>Finished and verified.</t>
        </is>
      </c>
    </row>
    <row r="6" ht="24" customHeight="1">
      <c r="A6" s="15" t="inlineStr">
        <is>
          <t>2. Maintain the Drone view</t>
        </is>
      </c>
      <c r="B6" s="15" t="inlineStr">
        <is>
          <t>Readiness Gates</t>
        </is>
      </c>
      <c r="C6" s="15" t="inlineStr">
        <is>
          <t>Use 4–8 decision gates. Each gate needs a short status label, current value, owner, target date, and one-sentence summary.</t>
        </is>
      </c>
      <c r="E6" t="inlineStr">
        <is>
          <t>On Track</t>
        </is>
      </c>
      <c r="F6" t="inlineStr">
        <is>
          <t>healthy</t>
        </is>
      </c>
      <c r="G6" t="inlineStr">
        <is>
          <t>Expected to meet the target with no known GA-blocking issue.</t>
        </is>
      </c>
    </row>
    <row r="7" ht="36" customHeight="1">
      <c r="A7" s="15" t="inlineStr">
        <is>
          <t>3. Track delivery milestones</t>
        </is>
      </c>
      <c r="B7" s="15" t="inlineStr">
        <is>
          <t>Milestones</t>
        </is>
      </c>
      <c r="C7" s="15" t="inlineStr">
        <is>
          <t>Use one row for every meaningful release, integration, platform, announcement, or future-adoption milestone. Enter progress from 0% to 100%, an owner, dependency, evidence, and next action.</t>
        </is>
      </c>
      <c r="E7" t="inlineStr">
        <is>
          <t>In Progress</t>
        </is>
      </c>
      <c r="F7" t="inlineStr">
        <is>
          <t>in-progress</t>
        </is>
      </c>
      <c r="G7" t="inlineStr">
        <is>
          <t>Work has started; no stronger conclusion has been established.</t>
        </is>
      </c>
    </row>
    <row r="8" ht="24" customHeight="1">
      <c r="A8" s="15" t="inlineStr">
        <is>
          <t>4. Track decisions and support</t>
        </is>
      </c>
      <c r="B8" s="15" t="inlineStr">
        <is>
          <t>Decisions &amp; Support</t>
        </is>
      </c>
      <c r="C8" s="15" t="inlineStr">
        <is>
          <t>Use this sheet for decisions, commitments, escalations, and cross-team support. Needed From identifies the person or organization that must respond.</t>
        </is>
      </c>
      <c r="E8" t="inlineStr">
        <is>
          <t>At Risk</t>
        </is>
      </c>
      <c r="F8" t="inlineStr">
        <is>
          <t>critical</t>
        </is>
      </c>
      <c r="G8" t="inlineStr">
        <is>
          <t>A material risk threatens the target; explain whether it is a confirmed blocker.</t>
        </is>
      </c>
    </row>
    <row r="9" ht="24" customHeight="1">
      <c r="A9" s="15" t="inlineStr">
        <is>
          <t>5. Track adoption</t>
        </is>
      </c>
      <c r="B9" s="15" t="inlineStr">
        <is>
          <t>Audience Adoption</t>
        </is>
      </c>
      <c r="C9" s="15" t="inlineStr">
        <is>
          <t>Use this sheet for target audiences, partners, and clients. Track stage and progress without automatically treating partner delay as a primary GA blocker.</t>
        </is>
      </c>
      <c r="E9" t="inlineStr">
        <is>
          <t>Blocked</t>
        </is>
      </c>
      <c r="F9" t="inlineStr">
        <is>
          <t>blocked</t>
        </is>
      </c>
      <c r="G9" t="inlineStr">
        <is>
          <t>Progress cannot continue without resolving a dependency or decision.</t>
        </is>
      </c>
    </row>
    <row r="10" ht="24" customHeight="1">
      <c r="A10" s="15" t="inlineStr">
        <is>
          <t>6. Maintain readiness details</t>
        </is>
      </c>
      <c r="B10" s="15" t="inlineStr">
        <is>
          <t>Readiness Details</t>
        </is>
      </c>
      <c r="C10" s="15" t="inlineStr">
        <is>
          <t>Create one stable row per product, platform, service, or launch deliverable. Owners are mandatory; use Unassigned explicitly when needed.</t>
        </is>
      </c>
      <c r="E10" t="inlineStr">
        <is>
          <t>Update Required</t>
        </is>
      </c>
      <c r="F10" t="inlineStr">
        <is>
          <t>warning</t>
        </is>
      </c>
      <c r="G10" t="inlineStr">
        <is>
          <t>Evidence or owner confirmation is missing.</t>
        </is>
      </c>
    </row>
    <row r="11" ht="36" customHeight="1">
      <c r="A11" s="15" t="inlineStr">
        <is>
          <t>7. Classify blockers</t>
        </is>
      </c>
      <c r="B11" s="15" t="inlineStr">
        <is>
          <t>All tracking sheets</t>
        </is>
      </c>
      <c r="C11" s="15" t="inlineStr">
        <is>
          <t>Set Blocks GA=Yes only for a confirmed blocker to the primary GA decision. Avoid counting the same blocker twice; use Scope or Related Record to link a support request to the authoritative readiness row.</t>
        </is>
      </c>
      <c r="E11" t="inlineStr">
        <is>
          <t>Pending Review</t>
        </is>
      </c>
      <c r="F11" t="inlineStr">
        <is>
          <t>pending-review</t>
        </is>
      </c>
      <c r="G11" t="inlineStr">
        <is>
          <t>Work is ready for a named approval or review.</t>
        </is>
      </c>
    </row>
    <row r="12" ht="24" customHeight="1">
      <c r="A12" s="15" t="inlineStr">
        <is>
          <t>8. Keep the verdict consistent</t>
        </is>
      </c>
      <c r="B12" s="15" t="inlineStr">
        <is>
          <t>Report Setup</t>
        </is>
      </c>
      <c r="C12" s="15" t="inlineStr">
        <is>
          <t>Overall Status Label and Summary must agree with the rows marked Blocks GA=Yes. Do not call the overall program on track when a confirmed blocker remains.</t>
        </is>
      </c>
      <c r="E12" t="inlineStr">
        <is>
          <t>Not Started</t>
        </is>
      </c>
      <c r="F12" t="inlineStr">
        <is>
          <t>not-started</t>
        </is>
      </c>
      <c r="G12" t="inlineStr">
        <is>
          <t>No implementation evidence is available.</t>
        </is>
      </c>
    </row>
    <row r="13" ht="24" customHeight="1">
      <c r="A13" s="15" t="inlineStr">
        <is>
          <t>9. Refresh daily</t>
        </is>
      </c>
      <c r="B13" s="15" t="inlineStr">
        <is>
          <t>All sheets</t>
        </is>
      </c>
      <c r="C13" s="15" t="inlineStr">
        <is>
          <t>Update Data As Of, evidence, owners, statuses, progress, target dates, and next actions once per business day. Hourly refresh is not required.</t>
        </is>
      </c>
      <c r="E13" t="inlineStr">
        <is>
          <t>Unknown</t>
        </is>
      </c>
      <c r="F13" t="inlineStr">
        <is>
          <t>unknown</t>
        </is>
      </c>
      <c r="G13" t="inlineStr">
        <is>
          <t>Status cannot be verified from the current source.</t>
        </is>
      </c>
    </row>
    <row r="14" ht="24" customHeight="1">
      <c r="A14" s="15" t="inlineStr">
        <is>
          <t>10. Preserve stable IDs</t>
        </is>
      </c>
      <c r="B14" s="15" t="inlineStr">
        <is>
          <t>All tracking sheets</t>
        </is>
      </c>
      <c r="C14" s="15" t="inlineStr">
        <is>
          <t>Never reuse an ID for another concept. IDs drive grouping, diffing, and reproducible HTML output.</t>
        </is>
      </c>
      <c r="E14" t="inlineStr">
        <is>
          <t>N/A</t>
        </is>
      </c>
      <c r="F14" t="inlineStr">
        <is>
          <t>not-applicable</t>
        </is>
      </c>
      <c r="G14" t="inlineStr">
        <is>
          <t>The gate does not apply to this product.</t>
        </is>
      </c>
    </row>
    <row r="15" ht="15" customHeight="1">
      <c r="A15" s="15" t="inlineStr">
        <is>
          <t>11. Build deterministically</t>
        </is>
      </c>
      <c r="B15" s="15" t="inlineStr">
        <is>
          <t>Report Setup</t>
        </is>
      </c>
      <c r="C15" s="15" t="inlineStr">
        <is>
          <t>Generated At is an explicit input. The adapter must not inject the current time or make network calls.</t>
        </is>
      </c>
    </row>
  </sheetData>
  <mergeCells count="2">
    <mergeCell ref="A2:G2"/>
    <mergeCell ref="A1:G1"/>
  </mergeCells>
  <pageMargins left="0.7" right="0.7" top="0.75" bottom="0.75" header="0.3" footer="0.3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ReportKit</dc:creator>
  <dc:title xmlns:dc="http://purl.org/dc/elements/1.1/">Contoso Product GA Readiness Sample</dc:title>
  <dc:subject xmlns:dc="http://purl.org/dc/elements/1.1/">Synthetic public sample for the ReportKit Product GA Readiness template</dc:subject>
  <dcterms:created xmlns:dcterms="http://purl.org/dc/terms/" xmlns:xsi="http://www.w3.org/2001/XMLSchema-instance" xsi:type="dcterms:W3CDTF">2026-09-19T22:01:57Z</dcterms:created>
  <dcterms:modified xmlns:dcterms="http://purl.org/dc/terms/" xmlns:xsi="http://www.w3.org/2001/XMLSchema-instance" xsi:type="dcterms:W3CDTF">2026-09-19T22:03:14Z</dcterms:modified>
  <cp:lastModifiedBy>ReportKit</cp:lastModifiedBy>
</cp:coreProperties>
</file>